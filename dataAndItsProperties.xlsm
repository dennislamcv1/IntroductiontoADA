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rnguymon/Box Sync/iMSA ACCY 569/MOOC Material/Slides/Module 3 - Data and Its Properties/"/>
    </mc:Choice>
  </mc:AlternateContent>
  <xr:revisionPtr revIDLastSave="0" documentId="13_ncr:1_{EF57051C-AF6C-7446-B679-F3800F2BF329}" xr6:coauthVersionLast="36" xr6:coauthVersionMax="36" xr10:uidLastSave="{00000000-0000-0000-0000-000000000000}"/>
  <bookViews>
    <workbookView xWindow="35580" yWindow="1200" windowWidth="31480" windowHeight="18360" xr2:uid="{5C24AFB9-9A3E-DA49-8BE4-9F00078C1DF3}"/>
  </bookViews>
  <sheets>
    <sheet name="combinedIncomeLongPivot2" sheetId="8" r:id="rId1"/>
    <sheet name="combinedIncomeLongPivot" sheetId="27" r:id="rId2"/>
    <sheet name="combinedIncomeLong" sheetId="3" r:id="rId3"/>
    <sheet name="combinedIncomeWide" sheetId="12" r:id="rId4"/>
    <sheet name="combinedIncomeClean" sheetId="7" r:id="rId5"/>
    <sheet name="combinedIncomeRaw" sheetId="1" r:id="rId6"/>
  </sheets>
  <definedNames>
    <definedName name="_xlnm._FilterDatabase" localSheetId="2" hidden="1">combinedIncomeLong!$A$1:$E$209</definedName>
    <definedName name="Slicer_lineITemCategory">#N/A</definedName>
    <definedName name="Slicer_yearEnding">#N/A</definedName>
  </definedNames>
  <calcPr calcId="181029"/>
  <pivotCaches>
    <pivotCache cacheId="1"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 i="12" l="1"/>
  <c r="E3" i="12" s="1"/>
  <c r="F3" i="12" s="1"/>
  <c r="G3" i="12" s="1"/>
  <c r="H3" i="12" s="1"/>
  <c r="I3" i="12" s="1"/>
  <c r="J3" i="12" s="1"/>
  <c r="K3" i="12" s="1"/>
  <c r="L3" i="12" s="1"/>
  <c r="M3" i="12" s="1"/>
  <c r="N3" i="12" s="1"/>
  <c r="O3" i="12" s="1"/>
  <c r="P3" i="12" s="1"/>
  <c r="Q3" i="12" s="1"/>
  <c r="R3" i="12" s="1"/>
  <c r="S3" i="12" s="1"/>
  <c r="T3" i="12" s="1"/>
  <c r="U3" i="12" s="1"/>
  <c r="V3" i="12" s="1"/>
  <c r="W3" i="12" s="1"/>
  <c r="X3" i="12" s="1"/>
  <c r="Y3" i="12" s="1"/>
  <c r="Z3" i="12" s="1"/>
  <c r="AA3" i="12" s="1"/>
  <c r="C3" i="12"/>
  <c r="C185" i="3" l="1"/>
  <c r="C186" i="3" s="1"/>
  <c r="C187" i="3" s="1"/>
  <c r="C188" i="3" s="1"/>
  <c r="C189" i="3" s="1"/>
  <c r="C190" i="3" s="1"/>
  <c r="C191" i="3" s="1"/>
  <c r="C192" i="3" s="1"/>
  <c r="C193" i="3" s="1"/>
  <c r="C194" i="3" s="1"/>
  <c r="C195" i="3" s="1"/>
  <c r="C196" i="3" s="1"/>
  <c r="C197" i="3" s="1"/>
  <c r="C198" i="3" s="1"/>
  <c r="C199" i="3" s="1"/>
  <c r="C200" i="3" s="1"/>
  <c r="C201" i="3" s="1"/>
  <c r="C202" i="3" s="1"/>
  <c r="C203" i="3" s="1"/>
  <c r="C204" i="3" s="1"/>
  <c r="C205" i="3" s="1"/>
  <c r="C206" i="3" s="1"/>
  <c r="C207" i="3" s="1"/>
  <c r="C208" i="3" s="1"/>
  <c r="C209" i="3" s="1"/>
  <c r="C159" i="3"/>
  <c r="C160" i="3" s="1"/>
  <c r="C161" i="3" s="1"/>
  <c r="C162" i="3" s="1"/>
  <c r="C163" i="3" s="1"/>
  <c r="C164" i="3" s="1"/>
  <c r="C165" i="3" s="1"/>
  <c r="C166" i="3" s="1"/>
  <c r="C167" i="3" s="1"/>
  <c r="C168" i="3" s="1"/>
  <c r="C169" i="3" s="1"/>
  <c r="C170" i="3" s="1"/>
  <c r="C171" i="3" s="1"/>
  <c r="C172" i="3" s="1"/>
  <c r="C173" i="3" s="1"/>
  <c r="C174" i="3" s="1"/>
  <c r="C175" i="3" s="1"/>
  <c r="C176" i="3" s="1"/>
  <c r="C177" i="3" s="1"/>
  <c r="C178" i="3" s="1"/>
  <c r="C179" i="3" s="1"/>
  <c r="C180" i="3" s="1"/>
  <c r="C181" i="3" s="1"/>
  <c r="C182" i="3" s="1"/>
  <c r="C183" i="3" s="1"/>
  <c r="C133" i="3"/>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07" i="3"/>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81" i="3"/>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55" i="3"/>
  <c r="C56" i="3" s="1"/>
  <c r="C57" i="3" s="1"/>
  <c r="C58" i="3" s="1"/>
  <c r="C59" i="3" s="1"/>
  <c r="C60" i="3" s="1"/>
  <c r="C61" i="3" s="1"/>
  <c r="C62" i="3" s="1"/>
  <c r="C63" i="3" s="1"/>
  <c r="C64" i="3" s="1"/>
  <c r="C65" i="3" s="1"/>
  <c r="C66" i="3" s="1"/>
  <c r="C67" i="3" s="1"/>
  <c r="C68" i="3" s="1"/>
  <c r="C69" i="3" s="1"/>
  <c r="C70" i="3" s="1"/>
  <c r="C71" i="3" s="1"/>
  <c r="C72" i="3" s="1"/>
  <c r="C73" i="3" s="1"/>
  <c r="C74" i="3" s="1"/>
  <c r="C75" i="3" s="1"/>
  <c r="C76" i="3" s="1"/>
  <c r="C77" i="3" s="1"/>
  <c r="C78" i="3" s="1"/>
  <c r="C79" i="3" s="1"/>
  <c r="C29" i="3"/>
  <c r="C30" i="3" s="1"/>
  <c r="C31" i="3" s="1"/>
  <c r="C32" i="3" s="1"/>
  <c r="C33" i="3" s="1"/>
  <c r="C34" i="3" s="1"/>
  <c r="C35" i="3" s="1"/>
  <c r="C36" i="3" s="1"/>
  <c r="C37" i="3" s="1"/>
  <c r="C38" i="3" s="1"/>
  <c r="C39" i="3" s="1"/>
  <c r="C40" i="3" s="1"/>
  <c r="C41" i="3" s="1"/>
  <c r="C42" i="3" s="1"/>
  <c r="C43" i="3" s="1"/>
  <c r="C44" i="3" s="1"/>
  <c r="C45" i="3" s="1"/>
  <c r="C46" i="3" s="1"/>
  <c r="C47" i="3" s="1"/>
  <c r="C48" i="3" s="1"/>
  <c r="C49" i="3" s="1"/>
  <c r="C50" i="3" s="1"/>
  <c r="C51" i="3" s="1"/>
  <c r="C52" i="3" s="1"/>
  <c r="C53" i="3" s="1"/>
  <c r="C3" i="3"/>
  <c r="C4" i="3" s="1"/>
  <c r="C5" i="3" s="1"/>
  <c r="C6" i="3" s="1"/>
  <c r="C7" i="3" s="1"/>
  <c r="C8" i="3" s="1"/>
  <c r="C9" i="3" s="1"/>
  <c r="C10" i="3" s="1"/>
  <c r="C11" i="3" s="1"/>
  <c r="C12" i="3" s="1"/>
  <c r="C13" i="3" s="1"/>
  <c r="C14" i="3" s="1"/>
  <c r="C15" i="3" s="1"/>
  <c r="C16" i="3" s="1"/>
  <c r="C17" i="3" s="1"/>
  <c r="C18" i="3" s="1"/>
  <c r="C19" i="3" s="1"/>
  <c r="C20" i="3" s="1"/>
  <c r="C21" i="3" s="1"/>
  <c r="C22" i="3" s="1"/>
  <c r="C23" i="3" s="1"/>
  <c r="C24" i="3" s="1"/>
  <c r="C25" i="3" s="1"/>
  <c r="C26" i="3" s="1"/>
  <c r="C27" i="3" s="1"/>
  <c r="C4" i="7"/>
  <c r="C5" i="7" s="1"/>
  <c r="C6" i="7" s="1"/>
  <c r="C7" i="7" s="1"/>
  <c r="C8" i="7" s="1"/>
  <c r="C9" i="7" s="1"/>
  <c r="C10" i="7" s="1"/>
  <c r="C11" i="7" s="1"/>
  <c r="C12" i="7" s="1"/>
  <c r="C13" i="7" s="1"/>
  <c r="C14" i="7" s="1"/>
  <c r="C15" i="7" s="1"/>
  <c r="C16" i="7" s="1"/>
  <c r="C17" i="7" s="1"/>
  <c r="C18" i="7" s="1"/>
  <c r="C19" i="7" s="1"/>
  <c r="C20" i="7" s="1"/>
  <c r="C21" i="7" s="1"/>
  <c r="C22" i="7" s="1"/>
  <c r="C23" i="7" s="1"/>
  <c r="C24" i="7" s="1"/>
  <c r="C25" i="7" s="1"/>
  <c r="C26" i="7" s="1"/>
  <c r="C27" i="7" s="1"/>
  <c r="C3" i="7"/>
</calcChain>
</file>

<file path=xl/sharedStrings.xml><?xml version="1.0" encoding="utf-8"?>
<sst xmlns="http://schemas.openxmlformats.org/spreadsheetml/2006/main" count="892" uniqueCount="59">
  <si>
    <t>Consolidated Statements of Operations - USD ($) shares in Thousands, $ in Thousands</t>
  </si>
  <si>
    <t>12 Months Ended</t>
  </si>
  <si>
    <t>Dec. 31, 2018</t>
  </si>
  <si>
    <t>Dec. 31, 2017</t>
  </si>
  <si>
    <t>Dec. 31, 2016</t>
  </si>
  <si>
    <t>Revenues</t>
  </si>
  <si>
    <t>Automotive leasing</t>
  </si>
  <si>
    <t>Total automotive revenues</t>
  </si>
  <si>
    <t>Services and other</t>
  </si>
  <si>
    <t>Total revenues</t>
  </si>
  <si>
    <t>Cost of revenues</t>
  </si>
  <si>
    <t>Total automotive cost of revenues</t>
  </si>
  <si>
    <t>Total cost of revenues</t>
  </si>
  <si>
    <t>Gross profit</t>
  </si>
  <si>
    <t>Operating expenses</t>
  </si>
  <si>
    <t>Research and development</t>
  </si>
  <si>
    <t>Selling, general and administrative</t>
  </si>
  <si>
    <t>Restructuring and other</t>
  </si>
  <si>
    <t>Total operating expenses</t>
  </si>
  <si>
    <t>Loss from operations</t>
  </si>
  <si>
    <t>Interest income</t>
  </si>
  <si>
    <t>Interest expense</t>
  </si>
  <si>
    <t>Other income (expense), net</t>
  </si>
  <si>
    <t>Loss before income taxes</t>
  </si>
  <si>
    <t>Provision for income taxes</t>
  </si>
  <si>
    <t>Net loss</t>
  </si>
  <si>
    <t>Net loss attributable to noncontrolling interests and redeemable noncontrolling interests in subsidiaries</t>
  </si>
  <si>
    <t>Net loss attributable to common stockholders</t>
  </si>
  <si>
    <t>Net loss per share of common stock attributable to common stockholders</t>
  </si>
  <si>
    <t>Basic</t>
  </si>
  <si>
    <t>Diluted</t>
  </si>
  <si>
    <t>Weighted average shares used in computing net loss per share of common stock</t>
  </si>
  <si>
    <t>Automotive Sales [Member]</t>
  </si>
  <si>
    <t>Energy Generation and Storage [Member]</t>
  </si>
  <si>
    <t>Dec. 31, 2015</t>
  </si>
  <si>
    <t>Dec. 31, 2014</t>
  </si>
  <si>
    <t>Dec. 31, 2013</t>
  </si>
  <si>
    <t>Dec. 31, 2012</t>
  </si>
  <si>
    <t>Dec. 31, 2011</t>
  </si>
  <si>
    <t>lineItem</t>
  </si>
  <si>
    <t>Steps to clean</t>
  </si>
  <si>
    <t>Duplicate the combinedIncomeRaw worksheet</t>
  </si>
  <si>
    <t>Remove rows that are all or mostly #N/A</t>
  </si>
  <si>
    <t>Remove combined column headers and title</t>
  </si>
  <si>
    <t>Add lineItem to header in column A</t>
  </si>
  <si>
    <t>Convert all numbers to same format: numeric with zero decimals</t>
  </si>
  <si>
    <t>amount</t>
  </si>
  <si>
    <t>yearEnding</t>
  </si>
  <si>
    <t>Sum of amount</t>
  </si>
  <si>
    <t>lineITemCategory</t>
  </si>
  <si>
    <t>EPS</t>
  </si>
  <si>
    <t>WAS</t>
  </si>
  <si>
    <t>lineItemRow</t>
  </si>
  <si>
    <t>COGS</t>
  </si>
  <si>
    <t>SGA</t>
  </si>
  <si>
    <t>Profit</t>
  </si>
  <si>
    <t>Add a column for lineItemCategory since some of the revenues and expenses have the same name.</t>
  </si>
  <si>
    <t>Add a column for lineItemRow so that we can order things appropriately in other reports</t>
  </si>
  <si>
    <t>Find and replace #N/A and blanks with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</si>
</sst>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 &quot;#,##0_);_(&quot;$ &quot;\(#,##0\)"/>
    <numFmt numFmtId="165" formatCode="_(&quot;$ &quot;#,##0.00_);_(&quot;$ &quot;\(#,##0.00\)"/>
  </numFmts>
  <fonts count="4">
    <font>
      <sz val="12"/>
      <color theme="1"/>
      <name val="Calibri"/>
      <family val="2"/>
      <scheme val="minor"/>
    </font>
    <font>
      <b/>
      <sz val="11"/>
      <name val="Calibri"/>
      <family val="2"/>
    </font>
    <font>
      <sz val="11"/>
      <name val="Calibri"/>
      <family val="2"/>
    </font>
    <font>
      <sz val="12"/>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19">
    <xf numFmtId="0" fontId="0" fillId="0" borderId="0" xfId="0"/>
    <xf numFmtId="0" fontId="2" fillId="0" borderId="0" xfId="0" applyFont="1" applyAlignment="1">
      <alignment horizontal="center" vertical="center" wrapText="1"/>
    </xf>
    <xf numFmtId="0" fontId="1" fillId="0" borderId="0" xfId="0" applyFont="1" applyAlignment="1">
      <alignment vertical="top" wrapText="1"/>
    </xf>
    <xf numFmtId="0" fontId="2" fillId="0" borderId="0" xfId="0" applyFont="1" applyAlignment="1">
      <alignment vertical="top" wrapText="1"/>
    </xf>
    <xf numFmtId="164" fontId="2" fillId="0" borderId="0" xfId="0" applyNumberFormat="1" applyFont="1" applyAlignment="1">
      <alignment horizontal="right" vertical="top"/>
    </xf>
    <xf numFmtId="37" fontId="2" fillId="0" borderId="0" xfId="0" applyNumberFormat="1" applyFont="1" applyAlignment="1">
      <alignment horizontal="right" vertical="top"/>
    </xf>
    <xf numFmtId="165" fontId="2" fillId="0" borderId="0" xfId="0" applyNumberFormat="1" applyFont="1" applyAlignment="1">
      <alignment horizontal="right" vertical="top"/>
    </xf>
    <xf numFmtId="0" fontId="0" fillId="0" borderId="0" xfId="0" applyAlignment="1">
      <alignment horizontal="center" vertical="center" wrapText="1"/>
    </xf>
    <xf numFmtId="0" fontId="0" fillId="0" borderId="0" xfId="0" applyAlignment="1"/>
    <xf numFmtId="1" fontId="2" fillId="0" borderId="0" xfId="0" applyNumberFormat="1" applyFont="1" applyAlignment="1">
      <alignment horizontal="right" vertical="top"/>
    </xf>
    <xf numFmtId="1" fontId="0" fillId="0" borderId="0" xfId="0" applyNumberFormat="1"/>
    <xf numFmtId="0" fontId="0" fillId="0" borderId="0" xfId="0" pivotButton="1"/>
    <xf numFmtId="0" fontId="0" fillId="0" borderId="0" xfId="0" applyNumberFormat="1"/>
    <xf numFmtId="0" fontId="0" fillId="0" borderId="0" xfId="0"/>
    <xf numFmtId="0" fontId="2" fillId="0" borderId="0" xfId="0" applyFont="1" applyAlignment="1">
      <alignment horizontal="center" vertical="center" wrapText="1"/>
    </xf>
    <xf numFmtId="0" fontId="0" fillId="0" borderId="0" xfId="0"/>
    <xf numFmtId="0" fontId="1" fillId="0" borderId="0" xfId="0" applyFont="1" applyAlignment="1">
      <alignment horizontal="center" vertical="center" wrapText="1"/>
    </xf>
    <xf numFmtId="0" fontId="0" fillId="0" borderId="0" xfId="0"/>
    <xf numFmtId="0" fontId="2" fillId="0" borderId="0" xfId="0" applyFont="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1</xdr:col>
      <xdr:colOff>3365500</xdr:colOff>
      <xdr:row>32</xdr:row>
      <xdr:rowOff>12700</xdr:rowOff>
    </xdr:from>
    <xdr:to>
      <xdr:col>1</xdr:col>
      <xdr:colOff>5194300</xdr:colOff>
      <xdr:row>44</xdr:row>
      <xdr:rowOff>193672</xdr:rowOff>
    </xdr:to>
    <mc:AlternateContent xmlns:mc="http://schemas.openxmlformats.org/markup-compatibility/2006" xmlns:a14="http://schemas.microsoft.com/office/drawing/2010/main">
      <mc:Choice Requires="a14">
        <xdr:graphicFrame macro="">
          <xdr:nvGraphicFramePr>
            <xdr:cNvPr id="2" name="lineITemCategory">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lineITemCategory"/>
            </a:graphicData>
          </a:graphic>
        </xdr:graphicFrame>
      </mc:Choice>
      <mc:Fallback xmlns="">
        <xdr:sp macro="" textlink="">
          <xdr:nvSpPr>
            <xdr:cNvPr id="0" name=""/>
            <xdr:cNvSpPr>
              <a:spLocks noTextEdit="1"/>
            </xdr:cNvSpPr>
          </xdr:nvSpPr>
          <xdr:spPr>
            <a:xfrm>
              <a:off x="4521200" y="65151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6134100</xdr:colOff>
      <xdr:row>31</xdr:row>
      <xdr:rowOff>190500</xdr:rowOff>
    </xdr:from>
    <xdr:to>
      <xdr:col>3</xdr:col>
      <xdr:colOff>266700</xdr:colOff>
      <xdr:row>44</xdr:row>
      <xdr:rowOff>168272</xdr:rowOff>
    </xdr:to>
    <mc:AlternateContent xmlns:mc="http://schemas.openxmlformats.org/markup-compatibility/2006" xmlns:a14="http://schemas.microsoft.com/office/drawing/2010/main">
      <mc:Choice Requires="a14">
        <xdr:graphicFrame macro="">
          <xdr:nvGraphicFramePr>
            <xdr:cNvPr id="3" name="yearEnding">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yearEnding"/>
            </a:graphicData>
          </a:graphic>
        </xdr:graphicFrame>
      </mc:Choice>
      <mc:Fallback xmlns="">
        <xdr:sp macro="" textlink="">
          <xdr:nvSpPr>
            <xdr:cNvPr id="0" name=""/>
            <xdr:cNvSpPr>
              <a:spLocks noTextEdit="1"/>
            </xdr:cNvSpPr>
          </xdr:nvSpPr>
          <xdr:spPr>
            <a:xfrm>
              <a:off x="7289800" y="64897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901700</xdr:colOff>
      <xdr:row>0</xdr:row>
      <xdr:rowOff>25400</xdr:rowOff>
    </xdr:from>
    <xdr:to>
      <xdr:col>17</xdr:col>
      <xdr:colOff>533400</xdr:colOff>
      <xdr:row>15</xdr:row>
      <xdr:rowOff>177800</xdr:rowOff>
    </xdr:to>
    <xdr:sp macro="" textlink="">
      <xdr:nvSpPr>
        <xdr:cNvPr id="4" name="TextBox 3">
          <a:extLst>
            <a:ext uri="{FF2B5EF4-FFF2-40B4-BE49-F238E27FC236}">
              <a16:creationId xmlns:a16="http://schemas.microsoft.com/office/drawing/2014/main" id="{4200CFF5-B1FD-CD47-B136-78E462323FDF}"/>
            </a:ext>
          </a:extLst>
        </xdr:cNvPr>
        <xdr:cNvSpPr txBox="1"/>
      </xdr:nvSpPr>
      <xdr:spPr>
        <a:xfrm>
          <a:off x="16332200" y="25400"/>
          <a:ext cx="5511800" cy="3200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Steps to create a pivot table:</a:t>
          </a:r>
        </a:p>
        <a:p>
          <a:endParaRPr lang="en-US" sz="1100"/>
        </a:p>
        <a:p>
          <a:r>
            <a:rPr lang="en-US" sz="1100"/>
            <a:t>1) Click on a cell in the table in combinedIncomeLong</a:t>
          </a:r>
        </a:p>
        <a:p>
          <a:endParaRPr lang="en-US" sz="1100"/>
        </a:p>
        <a:p>
          <a:r>
            <a:rPr lang="en-US" sz="1100"/>
            <a:t>2) Insert -&gt; Pivot Table -&gt; OK</a:t>
          </a:r>
        </a:p>
        <a:p>
          <a:endParaRPr lang="en-US" sz="1100"/>
        </a:p>
        <a:p>
          <a:r>
            <a:rPr lang="en-US" sz="1100"/>
            <a:t>3) Select itemRow and then lineItem for rows</a:t>
          </a:r>
        </a:p>
        <a:p>
          <a:endParaRPr lang="en-US" sz="1100"/>
        </a:p>
        <a:p>
          <a:r>
            <a:rPr lang="en-US" sz="1100"/>
            <a:t>4) Select yearEnding for column</a:t>
          </a:r>
        </a:p>
        <a:p>
          <a:endParaRPr lang="en-US" sz="1100"/>
        </a:p>
        <a:p>
          <a:r>
            <a:rPr lang="en-US" sz="1100"/>
            <a:t>5) Select amount for Values</a:t>
          </a:r>
        </a:p>
        <a:p>
          <a:endParaRPr lang="en-US" sz="1100"/>
        </a:p>
        <a:p>
          <a:r>
            <a:rPr lang="en-US" sz="1100"/>
            <a:t>6) In Design tab, turn off the subtotals, and grand totals. Select tabular form and then repeat all item labels</a:t>
          </a:r>
        </a:p>
        <a:p>
          <a:endParaRPr lang="en-US" sz="1100"/>
        </a:p>
        <a:p>
          <a:r>
            <a:rPr lang="en-US" sz="1100"/>
            <a:t>7) Pivot Table Analyze -&gt; Insert Slicer -&gt; select lineItemCategory and yearEnding</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584200</xdr:colOff>
          <xdr:row>0</xdr:row>
          <xdr:rowOff>177800</xdr:rowOff>
        </xdr:from>
        <xdr:to>
          <xdr:col>12</xdr:col>
          <xdr:colOff>393700</xdr:colOff>
          <xdr:row>2</xdr:row>
          <xdr:rowOff>152400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Wide to Long</a:t>
              </a:r>
            </a:p>
          </xdr:txBody>
        </xdr:sp>
        <xdr:clientData fPrintsWithSheet="0"/>
      </xdr:twoCellAnchor>
    </mc:Choice>
    <mc:Fallback/>
  </mc:AlternateContent>
  <xdr:twoCellAnchor>
    <xdr:from>
      <xdr:col>5</xdr:col>
      <xdr:colOff>171938</xdr:colOff>
      <xdr:row>0</xdr:row>
      <xdr:rowOff>44938</xdr:rowOff>
    </xdr:from>
    <xdr:to>
      <xdr:col>10</xdr:col>
      <xdr:colOff>488462</xdr:colOff>
      <xdr:row>12</xdr:row>
      <xdr:rowOff>57639</xdr:rowOff>
    </xdr:to>
    <xdr:sp macro="" textlink="">
      <xdr:nvSpPr>
        <xdr:cNvPr id="2" name="TextBox 1">
          <a:extLst>
            <a:ext uri="{FF2B5EF4-FFF2-40B4-BE49-F238E27FC236}">
              <a16:creationId xmlns:a16="http://schemas.microsoft.com/office/drawing/2014/main" id="{9DB104E9-FD77-F649-BB62-73D1F636B519}"/>
            </a:ext>
          </a:extLst>
        </xdr:cNvPr>
        <xdr:cNvSpPr txBox="1"/>
      </xdr:nvSpPr>
      <xdr:spPr>
        <a:xfrm>
          <a:off x="7782169" y="44938"/>
          <a:ext cx="4468447" cy="24745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Steps to convert wide to long:</a:t>
          </a:r>
        </a:p>
        <a:p>
          <a:endParaRPr lang="en-US" sz="1100"/>
        </a:p>
        <a:p>
          <a:r>
            <a:rPr lang="en-US" sz="1100"/>
            <a:t>1) Label A1 "lineItem"</a:t>
          </a:r>
        </a:p>
        <a:p>
          <a:r>
            <a:rPr lang="en-US" sz="1100"/>
            <a:t>2) Label B1 "lineItemCategory"</a:t>
          </a:r>
        </a:p>
        <a:p>
          <a:r>
            <a:rPr lang="en-US" sz="1100"/>
            <a:t>3) Label C1 "lineItemRow"</a:t>
          </a:r>
        </a:p>
        <a:p>
          <a:r>
            <a:rPr lang="en-US" sz="1100"/>
            <a:t>4)</a:t>
          </a:r>
          <a:r>
            <a:rPr lang="en-US" sz="1100" baseline="0"/>
            <a:t> L</a:t>
          </a:r>
          <a:r>
            <a:rPr lang="en-US" sz="1100"/>
            <a:t>abel D1 "yearEnding"</a:t>
          </a:r>
        </a:p>
        <a:p>
          <a:r>
            <a:rPr lang="en-US" sz="1100"/>
            <a:t>5)</a:t>
          </a:r>
          <a:r>
            <a:rPr lang="en-US" sz="1100" baseline="0"/>
            <a:t> L</a:t>
          </a:r>
          <a:r>
            <a:rPr lang="en-US" sz="1100"/>
            <a:t>abel E1 "amount"</a:t>
          </a:r>
        </a:p>
        <a:p>
          <a:r>
            <a:rPr lang="en-US" sz="1100"/>
            <a:t>6) Make sure that the copy sheet is labeled "combinedIncomeClean"</a:t>
          </a:r>
        </a:p>
        <a:p>
          <a:r>
            <a:rPr lang="en-US" sz="1100"/>
            <a:t>7) Make sure that the destination sheet is labeled "combinedIncomeLong"</a:t>
          </a:r>
        </a:p>
        <a:p>
          <a:r>
            <a:rPr lang="en-US" sz="1100"/>
            <a:t>8) Run the "Wide to Long" macro</a:t>
          </a:r>
        </a:p>
        <a:p>
          <a:r>
            <a:rPr lang="en-US" sz="1100"/>
            <a:t>9) Resized rows to 16</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749300</xdr:colOff>
      <xdr:row>0</xdr:row>
      <xdr:rowOff>50800</xdr:rowOff>
    </xdr:from>
    <xdr:to>
      <xdr:col>16</xdr:col>
      <xdr:colOff>406400</xdr:colOff>
      <xdr:row>10</xdr:row>
      <xdr:rowOff>139700</xdr:rowOff>
    </xdr:to>
    <xdr:sp macro="" textlink="">
      <xdr:nvSpPr>
        <xdr:cNvPr id="2" name="TextBox 1">
          <a:extLst>
            <a:ext uri="{FF2B5EF4-FFF2-40B4-BE49-F238E27FC236}">
              <a16:creationId xmlns:a16="http://schemas.microsoft.com/office/drawing/2014/main" id="{58F59988-71C8-A841-9671-ABB59CB1CE05}"/>
            </a:ext>
          </a:extLst>
        </xdr:cNvPr>
        <xdr:cNvSpPr txBox="1"/>
      </xdr:nvSpPr>
      <xdr:spPr>
        <a:xfrm>
          <a:off x="12407900" y="50800"/>
          <a:ext cx="4610100" cy="234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Steps to get this data:</a:t>
          </a:r>
        </a:p>
        <a:p>
          <a:endParaRPr lang="en-US" sz="1100"/>
        </a:p>
        <a:p>
          <a:r>
            <a:rPr lang="en-US" sz="1100"/>
            <a:t>1) Download the Excel files from www.sec.gov/edgar: https://www.sec.gov/cgi-bin/browse-edgar?action=getcompany&amp;CIK=0001318605&amp;type=10-K&amp;dateb=&amp;owner=exclude&amp;count=40</a:t>
          </a:r>
        </a:p>
        <a:p>
          <a:endParaRPr lang="en-US" sz="1100"/>
        </a:p>
        <a:p>
          <a:r>
            <a:rPr lang="en-US" sz="1100"/>
            <a:t>2) Use index/match functions to match on prior year's values</a:t>
          </a:r>
        </a:p>
        <a:p>
          <a:endParaRPr lang="en-US" sz="1100"/>
        </a:p>
        <a:p>
          <a:r>
            <a:rPr lang="en-US" sz="1100"/>
            <a:t>3)</a:t>
          </a:r>
          <a:r>
            <a:rPr lang="en-US" sz="1100" baseline="0"/>
            <a:t> </a:t>
          </a:r>
          <a:r>
            <a:rPr lang="en-US" sz="1100"/>
            <a:t>Copy and paste the values.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ymon, Ronald Nathan" refreshedDate="43531.481890740739" createdVersion="6" refreshedVersion="6" minRefreshableVersion="3" recordCount="208" xr:uid="{4DEDE9BB-6E66-044E-B876-5753246177CB}">
  <cacheSource type="worksheet">
    <worksheetSource ref="A1:E209" sheet="combinedIncomeLong"/>
  </cacheSource>
  <cacheFields count="5">
    <cacheField name="lineItem" numFmtId="0">
      <sharedItems count="22">
        <s v="Automotive leasing"/>
        <s v="Total automotive revenues"/>
        <s v="Services and other"/>
        <s v="Total revenues"/>
        <s v="Total automotive cost of revenues"/>
        <s v="Total cost of revenues"/>
        <s v="Gross profit"/>
        <s v="Research and development"/>
        <s v="Selling, general and administrative"/>
        <s v="Restructuring and other"/>
        <s v="Total operating expenses"/>
        <s v="Loss from operations"/>
        <s v="Interest income"/>
        <s v="Interest expense"/>
        <s v="Other income (expense), net"/>
        <s v="Loss before income taxes"/>
        <s v="Provision for income taxes"/>
        <s v="Net loss"/>
        <s v="Net loss attributable to noncontrolling interests and redeemable noncontrolling interests in subsidiaries"/>
        <s v="Net loss attributable to common stockholders"/>
        <s v="Basic"/>
        <s v="Diluted"/>
      </sharedItems>
    </cacheField>
    <cacheField name="lineITemCategory" numFmtId="0">
      <sharedItems count="7">
        <s v="Revenues"/>
        <s v="COGS"/>
        <s v="Gross profit"/>
        <s v="SGA"/>
        <s v="Profit"/>
        <s v="EPS"/>
        <s v="WAS"/>
      </sharedItems>
    </cacheField>
    <cacheField name="lineItemRow" numFmtId="0">
      <sharedItems containsSemiMixedTypes="0" containsString="0" containsNumber="1" containsInteger="1" minValue="1" maxValue="26" count="26">
        <n v="1"/>
        <n v="2"/>
        <n v="3"/>
        <n v="4"/>
        <n v="5"/>
        <n v="6"/>
        <n v="7"/>
        <n v="8"/>
        <n v="9"/>
        <n v="10"/>
        <n v="11"/>
        <n v="12"/>
        <n v="13"/>
        <n v="14"/>
        <n v="15"/>
        <n v="16"/>
        <n v="17"/>
        <n v="18"/>
        <n v="19"/>
        <n v="20"/>
        <n v="21"/>
        <n v="22"/>
        <n v="23"/>
        <n v="24"/>
        <n v="25"/>
        <n v="26"/>
      </sharedItems>
    </cacheField>
    <cacheField name="yearEnding" numFmtId="0">
      <sharedItems count="8">
        <s v="Dec. 31, 2018"/>
        <s v="Dec. 31, 2017"/>
        <s v="Dec. 31, 2016"/>
        <s v="Dec. 31, 2015"/>
        <s v="Dec. 31, 2014"/>
        <s v="Dec. 31, 2013"/>
        <s v="Dec. 31, 2012"/>
        <s v="Dec. 31, 2011"/>
      </sharedItems>
    </cacheField>
    <cacheField name="amount" numFmtId="1">
      <sharedItems containsSemiMixedTypes="0" containsString="0" containsNumber="1" minValue="-2240578" maxValue="21461268" count="158">
        <n v="883461"/>
        <n v="18514983"/>
        <n v="1391041"/>
        <n v="21461268"/>
        <n v="488425"/>
        <n v="14173997"/>
        <n v="1880354"/>
        <n v="17419247"/>
        <n v="4042021"/>
        <n v="1460370"/>
        <n v="2834491"/>
        <n v="135233"/>
        <n v="4430094"/>
        <n v="-388073"/>
        <n v="24533"/>
        <n v="-663071"/>
        <n v="21866"/>
        <n v="-1004745"/>
        <n v="57837"/>
        <n v="-1062582"/>
        <n v="-86491"/>
        <n v="-976091"/>
        <n v="-5.72"/>
        <n v="170525"/>
        <n v="1106548"/>
        <n v="9641300"/>
        <n v="1001185"/>
        <n v="11758751"/>
        <n v="708224"/>
        <n v="7432704"/>
        <n v="1229022"/>
        <n v="9536264"/>
        <n v="2222487"/>
        <n v="1378073"/>
        <n v="2476500"/>
        <n v="0"/>
        <n v="3854573"/>
        <n v="-1632086"/>
        <n v="19686"/>
        <n v="-471259"/>
        <n v="-125373"/>
        <n v="-2209032"/>
        <n v="31546"/>
        <n v="-2240578"/>
        <n v="-279178"/>
        <n v="-1961400"/>
        <n v="-11.83"/>
        <n v="165758"/>
        <n v="761759"/>
        <n v="6350766"/>
        <n v="467972"/>
        <n v="7000132"/>
        <n v="481994"/>
        <n v="4750081"/>
        <n v="472462"/>
        <n v="5400875"/>
        <n v="1599257"/>
        <n v="834408"/>
        <n v="1432189"/>
        <n v="2266597"/>
        <n v="-667340"/>
        <n v="8530"/>
        <n v="-198810"/>
        <n v="111272"/>
        <n v="-746348"/>
        <n v="26698"/>
        <n v="-773046"/>
        <n v="-98132"/>
        <n v="-674914"/>
        <n v="-4.68"/>
        <n v="144212"/>
        <n v="309386"/>
        <n v="3740973"/>
        <n v="290575"/>
        <n v="4046025"/>
        <n v="183376"/>
        <n v="2823302"/>
        <n v="286933"/>
        <n v="3122522"/>
        <n v="923503"/>
        <n v="717900"/>
        <n v="922232"/>
        <n v="1640132"/>
        <n v="-716629"/>
        <n v="1508"/>
        <n v="-118851"/>
        <n v="-41652"/>
        <n v="-875624"/>
        <n v="13039"/>
        <n v="-888663"/>
        <n v="-6.93"/>
        <n v="128202"/>
        <n v="132564"/>
        <n v="3007012"/>
        <n v="187136"/>
        <n v="3198356"/>
        <n v="87405"/>
        <n v="2145749"/>
        <n v="166931"/>
        <n v="2316685"/>
        <n v="881671"/>
        <n v="464700"/>
        <n v="603660"/>
        <n v="1068360"/>
        <n v="-186689"/>
        <n v="1126"/>
        <n v="-100886"/>
        <n v="1813"/>
        <n v="-284636"/>
        <n v="9404"/>
        <n v="-294040"/>
        <n v="-2.36"/>
        <n v="124539"/>
        <n v="1921877"/>
        <n v="2013496"/>
        <n v="1483321"/>
        <n v="1557234"/>
        <n v="456262"/>
        <n v="231976"/>
        <n v="285569"/>
        <n v="517545"/>
        <n v="-61283"/>
        <n v="189"/>
        <n v="-32934"/>
        <n v="22602"/>
        <n v="-71426"/>
        <n v="2588"/>
        <n v="-74014"/>
        <n v="-0.62"/>
        <n v="119421"/>
        <n v="413256"/>
        <n v="383189"/>
        <n v="30067"/>
        <n v="273978"/>
        <n v="150372"/>
        <n v="424350"/>
        <n v="-394283"/>
        <n v="288"/>
        <n v="-254"/>
        <n v="-1828"/>
        <n v="-396077"/>
        <n v="136"/>
        <n v="-396213"/>
        <n v="-3.69"/>
        <n v="204242"/>
        <n v="142647"/>
        <n v="61595"/>
        <n v="208981"/>
        <n v="104102"/>
        <n v="313083"/>
        <n v="-251488"/>
        <n v="255"/>
        <n v="-43"/>
        <n v="-2646"/>
        <n v="-253922"/>
        <n v="489"/>
        <n v="-254411"/>
        <n v="-2.5299999999999998"/>
      </sharedItems>
    </cacheField>
  </cacheFields>
  <extLst>
    <ext xmlns:x14="http://schemas.microsoft.com/office/spreadsheetml/2009/9/main" uri="{725AE2AE-9491-48be-B2B4-4EB974FC3084}">
      <x14:pivotCacheDefinition pivotCacheId="17065421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8">
  <r>
    <x v="0"/>
    <x v="0"/>
    <x v="0"/>
    <x v="0"/>
    <x v="0"/>
  </r>
  <r>
    <x v="1"/>
    <x v="0"/>
    <x v="1"/>
    <x v="0"/>
    <x v="1"/>
  </r>
  <r>
    <x v="2"/>
    <x v="0"/>
    <x v="2"/>
    <x v="0"/>
    <x v="2"/>
  </r>
  <r>
    <x v="3"/>
    <x v="0"/>
    <x v="3"/>
    <x v="0"/>
    <x v="3"/>
  </r>
  <r>
    <x v="0"/>
    <x v="1"/>
    <x v="4"/>
    <x v="0"/>
    <x v="4"/>
  </r>
  <r>
    <x v="4"/>
    <x v="1"/>
    <x v="5"/>
    <x v="0"/>
    <x v="5"/>
  </r>
  <r>
    <x v="2"/>
    <x v="1"/>
    <x v="6"/>
    <x v="0"/>
    <x v="6"/>
  </r>
  <r>
    <x v="5"/>
    <x v="1"/>
    <x v="7"/>
    <x v="0"/>
    <x v="7"/>
  </r>
  <r>
    <x v="6"/>
    <x v="2"/>
    <x v="8"/>
    <x v="0"/>
    <x v="8"/>
  </r>
  <r>
    <x v="7"/>
    <x v="3"/>
    <x v="9"/>
    <x v="0"/>
    <x v="9"/>
  </r>
  <r>
    <x v="8"/>
    <x v="3"/>
    <x v="10"/>
    <x v="0"/>
    <x v="10"/>
  </r>
  <r>
    <x v="9"/>
    <x v="3"/>
    <x v="11"/>
    <x v="0"/>
    <x v="11"/>
  </r>
  <r>
    <x v="10"/>
    <x v="3"/>
    <x v="12"/>
    <x v="0"/>
    <x v="12"/>
  </r>
  <r>
    <x v="11"/>
    <x v="3"/>
    <x v="13"/>
    <x v="0"/>
    <x v="13"/>
  </r>
  <r>
    <x v="12"/>
    <x v="3"/>
    <x v="14"/>
    <x v="0"/>
    <x v="14"/>
  </r>
  <r>
    <x v="13"/>
    <x v="3"/>
    <x v="15"/>
    <x v="0"/>
    <x v="15"/>
  </r>
  <r>
    <x v="14"/>
    <x v="3"/>
    <x v="16"/>
    <x v="0"/>
    <x v="16"/>
  </r>
  <r>
    <x v="15"/>
    <x v="3"/>
    <x v="17"/>
    <x v="0"/>
    <x v="17"/>
  </r>
  <r>
    <x v="16"/>
    <x v="3"/>
    <x v="18"/>
    <x v="0"/>
    <x v="18"/>
  </r>
  <r>
    <x v="17"/>
    <x v="4"/>
    <x v="19"/>
    <x v="0"/>
    <x v="19"/>
  </r>
  <r>
    <x v="18"/>
    <x v="4"/>
    <x v="20"/>
    <x v="0"/>
    <x v="20"/>
  </r>
  <r>
    <x v="19"/>
    <x v="4"/>
    <x v="21"/>
    <x v="0"/>
    <x v="21"/>
  </r>
  <r>
    <x v="20"/>
    <x v="5"/>
    <x v="22"/>
    <x v="0"/>
    <x v="22"/>
  </r>
  <r>
    <x v="21"/>
    <x v="5"/>
    <x v="23"/>
    <x v="0"/>
    <x v="22"/>
  </r>
  <r>
    <x v="20"/>
    <x v="6"/>
    <x v="24"/>
    <x v="0"/>
    <x v="23"/>
  </r>
  <r>
    <x v="21"/>
    <x v="6"/>
    <x v="25"/>
    <x v="0"/>
    <x v="23"/>
  </r>
  <r>
    <x v="0"/>
    <x v="0"/>
    <x v="0"/>
    <x v="1"/>
    <x v="24"/>
  </r>
  <r>
    <x v="1"/>
    <x v="0"/>
    <x v="1"/>
    <x v="1"/>
    <x v="25"/>
  </r>
  <r>
    <x v="2"/>
    <x v="0"/>
    <x v="2"/>
    <x v="1"/>
    <x v="26"/>
  </r>
  <r>
    <x v="3"/>
    <x v="0"/>
    <x v="3"/>
    <x v="1"/>
    <x v="27"/>
  </r>
  <r>
    <x v="0"/>
    <x v="1"/>
    <x v="4"/>
    <x v="1"/>
    <x v="28"/>
  </r>
  <r>
    <x v="4"/>
    <x v="1"/>
    <x v="5"/>
    <x v="1"/>
    <x v="29"/>
  </r>
  <r>
    <x v="2"/>
    <x v="1"/>
    <x v="6"/>
    <x v="1"/>
    <x v="30"/>
  </r>
  <r>
    <x v="5"/>
    <x v="1"/>
    <x v="7"/>
    <x v="1"/>
    <x v="31"/>
  </r>
  <r>
    <x v="6"/>
    <x v="2"/>
    <x v="8"/>
    <x v="1"/>
    <x v="32"/>
  </r>
  <r>
    <x v="7"/>
    <x v="3"/>
    <x v="9"/>
    <x v="1"/>
    <x v="33"/>
  </r>
  <r>
    <x v="8"/>
    <x v="3"/>
    <x v="10"/>
    <x v="1"/>
    <x v="34"/>
  </r>
  <r>
    <x v="9"/>
    <x v="3"/>
    <x v="11"/>
    <x v="1"/>
    <x v="35"/>
  </r>
  <r>
    <x v="10"/>
    <x v="3"/>
    <x v="12"/>
    <x v="1"/>
    <x v="36"/>
  </r>
  <r>
    <x v="11"/>
    <x v="3"/>
    <x v="13"/>
    <x v="1"/>
    <x v="37"/>
  </r>
  <r>
    <x v="12"/>
    <x v="3"/>
    <x v="14"/>
    <x v="1"/>
    <x v="38"/>
  </r>
  <r>
    <x v="13"/>
    <x v="3"/>
    <x v="15"/>
    <x v="1"/>
    <x v="39"/>
  </r>
  <r>
    <x v="14"/>
    <x v="3"/>
    <x v="16"/>
    <x v="1"/>
    <x v="40"/>
  </r>
  <r>
    <x v="15"/>
    <x v="3"/>
    <x v="17"/>
    <x v="1"/>
    <x v="41"/>
  </r>
  <r>
    <x v="16"/>
    <x v="3"/>
    <x v="18"/>
    <x v="1"/>
    <x v="42"/>
  </r>
  <r>
    <x v="17"/>
    <x v="4"/>
    <x v="19"/>
    <x v="1"/>
    <x v="43"/>
  </r>
  <r>
    <x v="18"/>
    <x v="4"/>
    <x v="20"/>
    <x v="1"/>
    <x v="44"/>
  </r>
  <r>
    <x v="19"/>
    <x v="4"/>
    <x v="21"/>
    <x v="1"/>
    <x v="45"/>
  </r>
  <r>
    <x v="20"/>
    <x v="5"/>
    <x v="22"/>
    <x v="1"/>
    <x v="46"/>
  </r>
  <r>
    <x v="21"/>
    <x v="5"/>
    <x v="23"/>
    <x v="1"/>
    <x v="46"/>
  </r>
  <r>
    <x v="20"/>
    <x v="6"/>
    <x v="24"/>
    <x v="1"/>
    <x v="47"/>
  </r>
  <r>
    <x v="21"/>
    <x v="6"/>
    <x v="25"/>
    <x v="1"/>
    <x v="47"/>
  </r>
  <r>
    <x v="0"/>
    <x v="0"/>
    <x v="0"/>
    <x v="2"/>
    <x v="48"/>
  </r>
  <r>
    <x v="1"/>
    <x v="0"/>
    <x v="1"/>
    <x v="2"/>
    <x v="49"/>
  </r>
  <r>
    <x v="2"/>
    <x v="0"/>
    <x v="2"/>
    <x v="2"/>
    <x v="50"/>
  </r>
  <r>
    <x v="3"/>
    <x v="0"/>
    <x v="3"/>
    <x v="2"/>
    <x v="51"/>
  </r>
  <r>
    <x v="0"/>
    <x v="1"/>
    <x v="4"/>
    <x v="2"/>
    <x v="52"/>
  </r>
  <r>
    <x v="4"/>
    <x v="1"/>
    <x v="5"/>
    <x v="2"/>
    <x v="53"/>
  </r>
  <r>
    <x v="2"/>
    <x v="1"/>
    <x v="6"/>
    <x v="2"/>
    <x v="54"/>
  </r>
  <r>
    <x v="5"/>
    <x v="1"/>
    <x v="7"/>
    <x v="2"/>
    <x v="55"/>
  </r>
  <r>
    <x v="6"/>
    <x v="2"/>
    <x v="8"/>
    <x v="2"/>
    <x v="56"/>
  </r>
  <r>
    <x v="7"/>
    <x v="3"/>
    <x v="9"/>
    <x v="2"/>
    <x v="57"/>
  </r>
  <r>
    <x v="8"/>
    <x v="3"/>
    <x v="10"/>
    <x v="2"/>
    <x v="58"/>
  </r>
  <r>
    <x v="9"/>
    <x v="3"/>
    <x v="11"/>
    <x v="2"/>
    <x v="35"/>
  </r>
  <r>
    <x v="10"/>
    <x v="3"/>
    <x v="12"/>
    <x v="2"/>
    <x v="59"/>
  </r>
  <r>
    <x v="11"/>
    <x v="3"/>
    <x v="13"/>
    <x v="2"/>
    <x v="60"/>
  </r>
  <r>
    <x v="12"/>
    <x v="3"/>
    <x v="14"/>
    <x v="2"/>
    <x v="61"/>
  </r>
  <r>
    <x v="13"/>
    <x v="3"/>
    <x v="15"/>
    <x v="2"/>
    <x v="62"/>
  </r>
  <r>
    <x v="14"/>
    <x v="3"/>
    <x v="16"/>
    <x v="2"/>
    <x v="63"/>
  </r>
  <r>
    <x v="15"/>
    <x v="3"/>
    <x v="17"/>
    <x v="2"/>
    <x v="64"/>
  </r>
  <r>
    <x v="16"/>
    <x v="3"/>
    <x v="18"/>
    <x v="2"/>
    <x v="65"/>
  </r>
  <r>
    <x v="17"/>
    <x v="4"/>
    <x v="19"/>
    <x v="2"/>
    <x v="66"/>
  </r>
  <r>
    <x v="18"/>
    <x v="4"/>
    <x v="20"/>
    <x v="2"/>
    <x v="67"/>
  </r>
  <r>
    <x v="19"/>
    <x v="4"/>
    <x v="21"/>
    <x v="2"/>
    <x v="68"/>
  </r>
  <r>
    <x v="20"/>
    <x v="5"/>
    <x v="22"/>
    <x v="2"/>
    <x v="69"/>
  </r>
  <r>
    <x v="21"/>
    <x v="5"/>
    <x v="23"/>
    <x v="2"/>
    <x v="69"/>
  </r>
  <r>
    <x v="20"/>
    <x v="6"/>
    <x v="24"/>
    <x v="2"/>
    <x v="70"/>
  </r>
  <r>
    <x v="21"/>
    <x v="6"/>
    <x v="25"/>
    <x v="2"/>
    <x v="70"/>
  </r>
  <r>
    <x v="0"/>
    <x v="0"/>
    <x v="0"/>
    <x v="3"/>
    <x v="71"/>
  </r>
  <r>
    <x v="1"/>
    <x v="0"/>
    <x v="1"/>
    <x v="3"/>
    <x v="72"/>
  </r>
  <r>
    <x v="2"/>
    <x v="0"/>
    <x v="2"/>
    <x v="3"/>
    <x v="73"/>
  </r>
  <r>
    <x v="3"/>
    <x v="0"/>
    <x v="3"/>
    <x v="3"/>
    <x v="74"/>
  </r>
  <r>
    <x v="0"/>
    <x v="1"/>
    <x v="4"/>
    <x v="3"/>
    <x v="75"/>
  </r>
  <r>
    <x v="4"/>
    <x v="1"/>
    <x v="5"/>
    <x v="3"/>
    <x v="76"/>
  </r>
  <r>
    <x v="2"/>
    <x v="1"/>
    <x v="6"/>
    <x v="3"/>
    <x v="77"/>
  </r>
  <r>
    <x v="5"/>
    <x v="1"/>
    <x v="7"/>
    <x v="3"/>
    <x v="78"/>
  </r>
  <r>
    <x v="6"/>
    <x v="2"/>
    <x v="8"/>
    <x v="3"/>
    <x v="79"/>
  </r>
  <r>
    <x v="7"/>
    <x v="3"/>
    <x v="9"/>
    <x v="3"/>
    <x v="80"/>
  </r>
  <r>
    <x v="8"/>
    <x v="3"/>
    <x v="10"/>
    <x v="3"/>
    <x v="81"/>
  </r>
  <r>
    <x v="9"/>
    <x v="3"/>
    <x v="11"/>
    <x v="3"/>
    <x v="35"/>
  </r>
  <r>
    <x v="10"/>
    <x v="3"/>
    <x v="12"/>
    <x v="3"/>
    <x v="82"/>
  </r>
  <r>
    <x v="11"/>
    <x v="3"/>
    <x v="13"/>
    <x v="3"/>
    <x v="83"/>
  </r>
  <r>
    <x v="12"/>
    <x v="3"/>
    <x v="14"/>
    <x v="3"/>
    <x v="84"/>
  </r>
  <r>
    <x v="13"/>
    <x v="3"/>
    <x v="15"/>
    <x v="3"/>
    <x v="85"/>
  </r>
  <r>
    <x v="14"/>
    <x v="3"/>
    <x v="16"/>
    <x v="3"/>
    <x v="86"/>
  </r>
  <r>
    <x v="15"/>
    <x v="3"/>
    <x v="17"/>
    <x v="3"/>
    <x v="87"/>
  </r>
  <r>
    <x v="16"/>
    <x v="3"/>
    <x v="18"/>
    <x v="3"/>
    <x v="88"/>
  </r>
  <r>
    <x v="17"/>
    <x v="4"/>
    <x v="19"/>
    <x v="3"/>
    <x v="89"/>
  </r>
  <r>
    <x v="18"/>
    <x v="4"/>
    <x v="20"/>
    <x v="3"/>
    <x v="35"/>
  </r>
  <r>
    <x v="19"/>
    <x v="4"/>
    <x v="21"/>
    <x v="3"/>
    <x v="89"/>
  </r>
  <r>
    <x v="20"/>
    <x v="5"/>
    <x v="22"/>
    <x v="3"/>
    <x v="90"/>
  </r>
  <r>
    <x v="21"/>
    <x v="5"/>
    <x v="23"/>
    <x v="3"/>
    <x v="90"/>
  </r>
  <r>
    <x v="20"/>
    <x v="6"/>
    <x v="24"/>
    <x v="3"/>
    <x v="91"/>
  </r>
  <r>
    <x v="21"/>
    <x v="6"/>
    <x v="25"/>
    <x v="3"/>
    <x v="91"/>
  </r>
  <r>
    <x v="0"/>
    <x v="0"/>
    <x v="0"/>
    <x v="4"/>
    <x v="92"/>
  </r>
  <r>
    <x v="1"/>
    <x v="0"/>
    <x v="1"/>
    <x v="4"/>
    <x v="93"/>
  </r>
  <r>
    <x v="2"/>
    <x v="0"/>
    <x v="2"/>
    <x v="4"/>
    <x v="94"/>
  </r>
  <r>
    <x v="3"/>
    <x v="0"/>
    <x v="3"/>
    <x v="4"/>
    <x v="95"/>
  </r>
  <r>
    <x v="0"/>
    <x v="1"/>
    <x v="4"/>
    <x v="4"/>
    <x v="96"/>
  </r>
  <r>
    <x v="4"/>
    <x v="1"/>
    <x v="5"/>
    <x v="4"/>
    <x v="97"/>
  </r>
  <r>
    <x v="2"/>
    <x v="1"/>
    <x v="6"/>
    <x v="4"/>
    <x v="98"/>
  </r>
  <r>
    <x v="5"/>
    <x v="1"/>
    <x v="7"/>
    <x v="4"/>
    <x v="99"/>
  </r>
  <r>
    <x v="6"/>
    <x v="2"/>
    <x v="8"/>
    <x v="4"/>
    <x v="100"/>
  </r>
  <r>
    <x v="7"/>
    <x v="3"/>
    <x v="9"/>
    <x v="4"/>
    <x v="101"/>
  </r>
  <r>
    <x v="8"/>
    <x v="3"/>
    <x v="10"/>
    <x v="4"/>
    <x v="102"/>
  </r>
  <r>
    <x v="9"/>
    <x v="3"/>
    <x v="11"/>
    <x v="4"/>
    <x v="35"/>
  </r>
  <r>
    <x v="10"/>
    <x v="3"/>
    <x v="12"/>
    <x v="4"/>
    <x v="103"/>
  </r>
  <r>
    <x v="11"/>
    <x v="3"/>
    <x v="13"/>
    <x v="4"/>
    <x v="104"/>
  </r>
  <r>
    <x v="12"/>
    <x v="3"/>
    <x v="14"/>
    <x v="4"/>
    <x v="105"/>
  </r>
  <r>
    <x v="13"/>
    <x v="3"/>
    <x v="15"/>
    <x v="4"/>
    <x v="106"/>
  </r>
  <r>
    <x v="14"/>
    <x v="3"/>
    <x v="16"/>
    <x v="4"/>
    <x v="107"/>
  </r>
  <r>
    <x v="15"/>
    <x v="3"/>
    <x v="17"/>
    <x v="4"/>
    <x v="108"/>
  </r>
  <r>
    <x v="16"/>
    <x v="3"/>
    <x v="18"/>
    <x v="4"/>
    <x v="109"/>
  </r>
  <r>
    <x v="17"/>
    <x v="4"/>
    <x v="19"/>
    <x v="4"/>
    <x v="110"/>
  </r>
  <r>
    <x v="18"/>
    <x v="4"/>
    <x v="20"/>
    <x v="4"/>
    <x v="35"/>
  </r>
  <r>
    <x v="19"/>
    <x v="4"/>
    <x v="21"/>
    <x v="4"/>
    <x v="110"/>
  </r>
  <r>
    <x v="20"/>
    <x v="5"/>
    <x v="22"/>
    <x v="4"/>
    <x v="111"/>
  </r>
  <r>
    <x v="21"/>
    <x v="5"/>
    <x v="23"/>
    <x v="4"/>
    <x v="111"/>
  </r>
  <r>
    <x v="20"/>
    <x v="6"/>
    <x v="24"/>
    <x v="4"/>
    <x v="112"/>
  </r>
  <r>
    <x v="21"/>
    <x v="6"/>
    <x v="25"/>
    <x v="4"/>
    <x v="112"/>
  </r>
  <r>
    <x v="0"/>
    <x v="0"/>
    <x v="0"/>
    <x v="5"/>
    <x v="35"/>
  </r>
  <r>
    <x v="1"/>
    <x v="0"/>
    <x v="1"/>
    <x v="5"/>
    <x v="113"/>
  </r>
  <r>
    <x v="2"/>
    <x v="0"/>
    <x v="2"/>
    <x v="5"/>
    <x v="35"/>
  </r>
  <r>
    <x v="3"/>
    <x v="0"/>
    <x v="3"/>
    <x v="5"/>
    <x v="114"/>
  </r>
  <r>
    <x v="0"/>
    <x v="1"/>
    <x v="4"/>
    <x v="5"/>
    <x v="35"/>
  </r>
  <r>
    <x v="4"/>
    <x v="1"/>
    <x v="5"/>
    <x v="5"/>
    <x v="115"/>
  </r>
  <r>
    <x v="2"/>
    <x v="1"/>
    <x v="6"/>
    <x v="5"/>
    <x v="35"/>
  </r>
  <r>
    <x v="5"/>
    <x v="1"/>
    <x v="7"/>
    <x v="5"/>
    <x v="116"/>
  </r>
  <r>
    <x v="6"/>
    <x v="2"/>
    <x v="8"/>
    <x v="5"/>
    <x v="117"/>
  </r>
  <r>
    <x v="7"/>
    <x v="3"/>
    <x v="9"/>
    <x v="5"/>
    <x v="118"/>
  </r>
  <r>
    <x v="8"/>
    <x v="3"/>
    <x v="10"/>
    <x v="5"/>
    <x v="119"/>
  </r>
  <r>
    <x v="9"/>
    <x v="3"/>
    <x v="11"/>
    <x v="5"/>
    <x v="35"/>
  </r>
  <r>
    <x v="10"/>
    <x v="3"/>
    <x v="12"/>
    <x v="5"/>
    <x v="120"/>
  </r>
  <r>
    <x v="11"/>
    <x v="3"/>
    <x v="13"/>
    <x v="5"/>
    <x v="121"/>
  </r>
  <r>
    <x v="12"/>
    <x v="3"/>
    <x v="14"/>
    <x v="5"/>
    <x v="122"/>
  </r>
  <r>
    <x v="13"/>
    <x v="3"/>
    <x v="15"/>
    <x v="5"/>
    <x v="123"/>
  </r>
  <r>
    <x v="14"/>
    <x v="3"/>
    <x v="16"/>
    <x v="5"/>
    <x v="124"/>
  </r>
  <r>
    <x v="15"/>
    <x v="3"/>
    <x v="17"/>
    <x v="5"/>
    <x v="125"/>
  </r>
  <r>
    <x v="16"/>
    <x v="3"/>
    <x v="18"/>
    <x v="5"/>
    <x v="126"/>
  </r>
  <r>
    <x v="17"/>
    <x v="4"/>
    <x v="19"/>
    <x v="5"/>
    <x v="127"/>
  </r>
  <r>
    <x v="18"/>
    <x v="4"/>
    <x v="20"/>
    <x v="5"/>
    <x v="35"/>
  </r>
  <r>
    <x v="19"/>
    <x v="4"/>
    <x v="21"/>
    <x v="5"/>
    <x v="127"/>
  </r>
  <r>
    <x v="20"/>
    <x v="5"/>
    <x v="22"/>
    <x v="5"/>
    <x v="128"/>
  </r>
  <r>
    <x v="21"/>
    <x v="5"/>
    <x v="23"/>
    <x v="5"/>
    <x v="128"/>
  </r>
  <r>
    <x v="20"/>
    <x v="6"/>
    <x v="24"/>
    <x v="5"/>
    <x v="129"/>
  </r>
  <r>
    <x v="21"/>
    <x v="6"/>
    <x v="25"/>
    <x v="5"/>
    <x v="129"/>
  </r>
  <r>
    <x v="0"/>
    <x v="0"/>
    <x v="0"/>
    <x v="6"/>
    <x v="35"/>
  </r>
  <r>
    <x v="1"/>
    <x v="0"/>
    <x v="1"/>
    <x v="6"/>
    <x v="35"/>
  </r>
  <r>
    <x v="2"/>
    <x v="0"/>
    <x v="2"/>
    <x v="6"/>
    <x v="35"/>
  </r>
  <r>
    <x v="3"/>
    <x v="0"/>
    <x v="3"/>
    <x v="6"/>
    <x v="130"/>
  </r>
  <r>
    <x v="0"/>
    <x v="1"/>
    <x v="4"/>
    <x v="6"/>
    <x v="35"/>
  </r>
  <r>
    <x v="4"/>
    <x v="1"/>
    <x v="5"/>
    <x v="6"/>
    <x v="35"/>
  </r>
  <r>
    <x v="2"/>
    <x v="1"/>
    <x v="6"/>
    <x v="6"/>
    <x v="35"/>
  </r>
  <r>
    <x v="5"/>
    <x v="1"/>
    <x v="7"/>
    <x v="6"/>
    <x v="131"/>
  </r>
  <r>
    <x v="6"/>
    <x v="2"/>
    <x v="8"/>
    <x v="6"/>
    <x v="132"/>
  </r>
  <r>
    <x v="7"/>
    <x v="3"/>
    <x v="9"/>
    <x v="6"/>
    <x v="133"/>
  </r>
  <r>
    <x v="8"/>
    <x v="3"/>
    <x v="10"/>
    <x v="6"/>
    <x v="134"/>
  </r>
  <r>
    <x v="9"/>
    <x v="3"/>
    <x v="11"/>
    <x v="6"/>
    <x v="35"/>
  </r>
  <r>
    <x v="10"/>
    <x v="3"/>
    <x v="12"/>
    <x v="6"/>
    <x v="135"/>
  </r>
  <r>
    <x v="11"/>
    <x v="3"/>
    <x v="13"/>
    <x v="6"/>
    <x v="136"/>
  </r>
  <r>
    <x v="12"/>
    <x v="3"/>
    <x v="14"/>
    <x v="6"/>
    <x v="137"/>
  </r>
  <r>
    <x v="13"/>
    <x v="3"/>
    <x v="15"/>
    <x v="6"/>
    <x v="138"/>
  </r>
  <r>
    <x v="14"/>
    <x v="3"/>
    <x v="16"/>
    <x v="6"/>
    <x v="139"/>
  </r>
  <r>
    <x v="15"/>
    <x v="3"/>
    <x v="17"/>
    <x v="6"/>
    <x v="140"/>
  </r>
  <r>
    <x v="16"/>
    <x v="3"/>
    <x v="18"/>
    <x v="6"/>
    <x v="141"/>
  </r>
  <r>
    <x v="17"/>
    <x v="4"/>
    <x v="19"/>
    <x v="6"/>
    <x v="142"/>
  </r>
  <r>
    <x v="18"/>
    <x v="4"/>
    <x v="20"/>
    <x v="6"/>
    <x v="35"/>
  </r>
  <r>
    <x v="19"/>
    <x v="4"/>
    <x v="21"/>
    <x v="6"/>
    <x v="142"/>
  </r>
  <r>
    <x v="20"/>
    <x v="5"/>
    <x v="22"/>
    <x v="6"/>
    <x v="143"/>
  </r>
  <r>
    <x v="21"/>
    <x v="5"/>
    <x v="23"/>
    <x v="6"/>
    <x v="143"/>
  </r>
  <r>
    <x v="20"/>
    <x v="6"/>
    <x v="24"/>
    <x v="6"/>
    <x v="35"/>
  </r>
  <r>
    <x v="21"/>
    <x v="6"/>
    <x v="25"/>
    <x v="6"/>
    <x v="35"/>
  </r>
  <r>
    <x v="0"/>
    <x v="0"/>
    <x v="0"/>
    <x v="7"/>
    <x v="35"/>
  </r>
  <r>
    <x v="1"/>
    <x v="0"/>
    <x v="1"/>
    <x v="7"/>
    <x v="35"/>
  </r>
  <r>
    <x v="2"/>
    <x v="0"/>
    <x v="2"/>
    <x v="7"/>
    <x v="35"/>
  </r>
  <r>
    <x v="3"/>
    <x v="0"/>
    <x v="3"/>
    <x v="7"/>
    <x v="144"/>
  </r>
  <r>
    <x v="0"/>
    <x v="1"/>
    <x v="4"/>
    <x v="7"/>
    <x v="35"/>
  </r>
  <r>
    <x v="4"/>
    <x v="1"/>
    <x v="5"/>
    <x v="7"/>
    <x v="35"/>
  </r>
  <r>
    <x v="2"/>
    <x v="1"/>
    <x v="6"/>
    <x v="7"/>
    <x v="35"/>
  </r>
  <r>
    <x v="5"/>
    <x v="1"/>
    <x v="7"/>
    <x v="7"/>
    <x v="145"/>
  </r>
  <r>
    <x v="6"/>
    <x v="2"/>
    <x v="8"/>
    <x v="7"/>
    <x v="146"/>
  </r>
  <r>
    <x v="7"/>
    <x v="3"/>
    <x v="9"/>
    <x v="7"/>
    <x v="147"/>
  </r>
  <r>
    <x v="8"/>
    <x v="3"/>
    <x v="10"/>
    <x v="7"/>
    <x v="148"/>
  </r>
  <r>
    <x v="9"/>
    <x v="3"/>
    <x v="11"/>
    <x v="7"/>
    <x v="35"/>
  </r>
  <r>
    <x v="10"/>
    <x v="3"/>
    <x v="12"/>
    <x v="7"/>
    <x v="149"/>
  </r>
  <r>
    <x v="11"/>
    <x v="3"/>
    <x v="13"/>
    <x v="7"/>
    <x v="150"/>
  </r>
  <r>
    <x v="12"/>
    <x v="3"/>
    <x v="14"/>
    <x v="7"/>
    <x v="151"/>
  </r>
  <r>
    <x v="13"/>
    <x v="3"/>
    <x v="15"/>
    <x v="7"/>
    <x v="152"/>
  </r>
  <r>
    <x v="14"/>
    <x v="3"/>
    <x v="16"/>
    <x v="7"/>
    <x v="153"/>
  </r>
  <r>
    <x v="15"/>
    <x v="3"/>
    <x v="17"/>
    <x v="7"/>
    <x v="154"/>
  </r>
  <r>
    <x v="16"/>
    <x v="3"/>
    <x v="18"/>
    <x v="7"/>
    <x v="155"/>
  </r>
  <r>
    <x v="17"/>
    <x v="4"/>
    <x v="19"/>
    <x v="7"/>
    <x v="156"/>
  </r>
  <r>
    <x v="18"/>
    <x v="4"/>
    <x v="20"/>
    <x v="7"/>
    <x v="35"/>
  </r>
  <r>
    <x v="19"/>
    <x v="4"/>
    <x v="21"/>
    <x v="7"/>
    <x v="156"/>
  </r>
  <r>
    <x v="20"/>
    <x v="5"/>
    <x v="22"/>
    <x v="7"/>
    <x v="157"/>
  </r>
  <r>
    <x v="21"/>
    <x v="5"/>
    <x v="23"/>
    <x v="7"/>
    <x v="157"/>
  </r>
  <r>
    <x v="20"/>
    <x v="6"/>
    <x v="24"/>
    <x v="7"/>
    <x v="35"/>
  </r>
  <r>
    <x v="21"/>
    <x v="6"/>
    <x v="25"/>
    <x v="7"/>
    <x v="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5FC61E-AB81-A646-BF81-9F89AB238578}"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3:J30" firstHeaderRow="1" firstDataRow="2" firstDataCol="2"/>
  <pivotFields count="5">
    <pivotField axis="axisRow" compact="0" outline="0" showAll="0" defaultSubtotal="0">
      <items count="22">
        <item x="0"/>
        <item x="20"/>
        <item x="21"/>
        <item x="6"/>
        <item x="13"/>
        <item x="12"/>
        <item x="15"/>
        <item x="11"/>
        <item x="17"/>
        <item x="19"/>
        <item x="18"/>
        <item x="14"/>
        <item x="16"/>
        <item x="7"/>
        <item x="9"/>
        <item x="8"/>
        <item x="2"/>
        <item x="4"/>
        <item x="1"/>
        <item x="5"/>
        <item x="10"/>
        <item x="3"/>
      </items>
      <extLst>
        <ext xmlns:x14="http://schemas.microsoft.com/office/spreadsheetml/2009/9/main" uri="{2946ED86-A175-432a-8AC1-64E0C546D7DE}">
          <x14:pivotField fillDownLabels="1"/>
        </ext>
      </extLst>
    </pivotField>
    <pivotField compact="0" outline="0" showAll="0" defaultSubtotal="0">
      <items count="7">
        <item x="1"/>
        <item x="5"/>
        <item x="2"/>
        <item x="4"/>
        <item x="0"/>
        <item x="3"/>
        <item x="6"/>
      </items>
      <extLst>
        <ext xmlns:x14="http://schemas.microsoft.com/office/spreadsheetml/2009/9/main" uri="{2946ED86-A175-432a-8AC1-64E0C546D7DE}">
          <x14:pivotField fillDownLabels="1"/>
        </ext>
      </extLst>
    </pivotField>
    <pivotField axis="axisRow" compact="0" outline="0" showAll="0" defaultSubtotal="0">
      <items count="26">
        <item x="0"/>
        <item x="1"/>
        <item x="2"/>
        <item x="3"/>
        <item x="4"/>
        <item x="5"/>
        <item x="6"/>
        <item x="7"/>
        <item x="8"/>
        <item x="9"/>
        <item x="10"/>
        <item x="11"/>
        <item x="12"/>
        <item x="13"/>
        <item x="14"/>
        <item x="15"/>
        <item x="16"/>
        <item x="17"/>
        <item x="18"/>
        <item x="19"/>
        <item x="20"/>
        <item x="21"/>
        <item x="22"/>
        <item x="23"/>
        <item x="24"/>
        <item x="25"/>
      </items>
      <extLst>
        <ext xmlns:x14="http://schemas.microsoft.com/office/spreadsheetml/2009/9/main" uri="{2946ED86-A175-432a-8AC1-64E0C546D7DE}">
          <x14:pivotField fillDownLabels="1"/>
        </ext>
      </extLst>
    </pivotField>
    <pivotField axis="axisCol" compact="0" outline="0" showAll="0" defaultSubtotal="0">
      <items count="8">
        <item x="7"/>
        <item x="6"/>
        <item x="5"/>
        <item x="4"/>
        <item x="3"/>
        <item x="2"/>
        <item x="1"/>
        <item x="0"/>
      </items>
      <extLst>
        <ext xmlns:x14="http://schemas.microsoft.com/office/spreadsheetml/2009/9/main" uri="{2946ED86-A175-432a-8AC1-64E0C546D7DE}">
          <x14:pivotField fillDownLabels="1"/>
        </ext>
      </extLst>
    </pivotField>
    <pivotField dataField="1" compact="0" numFmtId="1" outline="0" showAll="0" defaultSubtotal="0">
      <items count="158">
        <item x="43"/>
        <item x="41"/>
        <item x="45"/>
        <item x="37"/>
        <item x="19"/>
        <item x="17"/>
        <item x="21"/>
        <item x="89"/>
        <item x="87"/>
        <item x="66"/>
        <item x="64"/>
        <item x="83"/>
        <item x="68"/>
        <item x="60"/>
        <item x="15"/>
        <item x="39"/>
        <item x="142"/>
        <item x="140"/>
        <item x="136"/>
        <item x="13"/>
        <item x="110"/>
        <item x="108"/>
        <item x="44"/>
        <item x="156"/>
        <item x="154"/>
        <item x="150"/>
        <item x="62"/>
        <item x="104"/>
        <item x="40"/>
        <item x="85"/>
        <item x="106"/>
        <item x="67"/>
        <item x="20"/>
        <item x="127"/>
        <item x="125"/>
        <item x="121"/>
        <item x="86"/>
        <item x="123"/>
        <item x="153"/>
        <item x="139"/>
        <item x="138"/>
        <item x="152"/>
        <item x="46"/>
        <item x="90"/>
        <item x="22"/>
        <item x="69"/>
        <item x="143"/>
        <item x="157"/>
        <item x="111"/>
        <item x="128"/>
        <item x="35"/>
        <item x="141"/>
        <item x="122"/>
        <item x="151"/>
        <item x="137"/>
        <item x="155"/>
        <item x="105"/>
        <item x="84"/>
        <item x="107"/>
        <item x="126"/>
        <item x="61"/>
        <item x="109"/>
        <item x="88"/>
        <item x="38"/>
        <item x="16"/>
        <item x="124"/>
        <item x="14"/>
        <item x="65"/>
        <item x="132"/>
        <item x="42"/>
        <item x="18"/>
        <item x="146"/>
        <item x="96"/>
        <item x="148"/>
        <item x="63"/>
        <item x="129"/>
        <item x="112"/>
        <item x="91"/>
        <item x="92"/>
        <item x="11"/>
        <item x="145"/>
        <item x="70"/>
        <item x="134"/>
        <item x="47"/>
        <item x="98"/>
        <item x="23"/>
        <item x="75"/>
        <item x="94"/>
        <item x="144"/>
        <item x="147"/>
        <item x="118"/>
        <item x="133"/>
        <item x="119"/>
        <item x="77"/>
        <item x="73"/>
        <item x="71"/>
        <item x="149"/>
        <item x="131"/>
        <item x="130"/>
        <item x="135"/>
        <item x="117"/>
        <item x="101"/>
        <item x="50"/>
        <item x="54"/>
        <item x="52"/>
        <item x="4"/>
        <item x="120"/>
        <item x="102"/>
        <item x="28"/>
        <item x="80"/>
        <item x="48"/>
        <item x="57"/>
        <item x="100"/>
        <item x="0"/>
        <item x="81"/>
        <item x="79"/>
        <item x="26"/>
        <item x="103"/>
        <item x="24"/>
        <item x="30"/>
        <item x="33"/>
        <item x="2"/>
        <item x="58"/>
        <item x="9"/>
        <item x="115"/>
        <item x="116"/>
        <item x="56"/>
        <item x="82"/>
        <item x="6"/>
        <item x="113"/>
        <item x="114"/>
        <item x="97"/>
        <item x="32"/>
        <item x="59"/>
        <item x="99"/>
        <item x="34"/>
        <item x="76"/>
        <item x="10"/>
        <item x="93"/>
        <item x="78"/>
        <item x="95"/>
        <item x="72"/>
        <item x="36"/>
        <item x="8"/>
        <item x="74"/>
        <item x="12"/>
        <item x="53"/>
        <item x="55"/>
        <item x="49"/>
        <item x="51"/>
        <item x="29"/>
        <item x="31"/>
        <item x="25"/>
        <item x="27"/>
        <item x="5"/>
        <item x="7"/>
        <item x="1"/>
        <item x="3"/>
      </items>
      <extLst>
        <ext xmlns:x14="http://schemas.microsoft.com/office/spreadsheetml/2009/9/main" uri="{2946ED86-A175-432a-8AC1-64E0C546D7DE}">
          <x14:pivotField fillDownLabels="1"/>
        </ext>
      </extLst>
    </pivotField>
  </pivotFields>
  <rowFields count="2">
    <field x="2"/>
    <field x="0"/>
  </rowFields>
  <rowItems count="26">
    <i>
      <x/>
      <x/>
    </i>
    <i>
      <x v="1"/>
      <x v="18"/>
    </i>
    <i>
      <x v="2"/>
      <x v="16"/>
    </i>
    <i>
      <x v="3"/>
      <x v="21"/>
    </i>
    <i>
      <x v="4"/>
      <x/>
    </i>
    <i>
      <x v="5"/>
      <x v="17"/>
    </i>
    <i>
      <x v="6"/>
      <x v="16"/>
    </i>
    <i>
      <x v="7"/>
      <x v="19"/>
    </i>
    <i>
      <x v="8"/>
      <x v="3"/>
    </i>
    <i>
      <x v="9"/>
      <x v="13"/>
    </i>
    <i>
      <x v="10"/>
      <x v="15"/>
    </i>
    <i>
      <x v="11"/>
      <x v="14"/>
    </i>
    <i>
      <x v="12"/>
      <x v="20"/>
    </i>
    <i>
      <x v="13"/>
      <x v="7"/>
    </i>
    <i>
      <x v="14"/>
      <x v="5"/>
    </i>
    <i>
      <x v="15"/>
      <x v="4"/>
    </i>
    <i>
      <x v="16"/>
      <x v="11"/>
    </i>
    <i>
      <x v="17"/>
      <x v="6"/>
    </i>
    <i>
      <x v="18"/>
      <x v="12"/>
    </i>
    <i>
      <x v="19"/>
      <x v="8"/>
    </i>
    <i>
      <x v="20"/>
      <x v="10"/>
    </i>
    <i>
      <x v="21"/>
      <x v="9"/>
    </i>
    <i>
      <x v="22"/>
      <x v="1"/>
    </i>
    <i>
      <x v="23"/>
      <x v="2"/>
    </i>
    <i>
      <x v="24"/>
      <x v="1"/>
    </i>
    <i>
      <x v="25"/>
      <x v="2"/>
    </i>
  </rowItems>
  <colFields count="1">
    <field x="3"/>
  </colFields>
  <colItems count="8">
    <i>
      <x/>
    </i>
    <i>
      <x v="1"/>
    </i>
    <i>
      <x v="2"/>
    </i>
    <i>
      <x v="3"/>
    </i>
    <i>
      <x v="4"/>
    </i>
    <i>
      <x v="5"/>
    </i>
    <i>
      <x v="6"/>
    </i>
    <i>
      <x v="7"/>
    </i>
  </colItems>
  <dataFields count="1">
    <dataField name="Sum of 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23AE7D-43D4-1B43-B643-BF6374FF2EAD}" name="PivotTable4"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3:J30" firstHeaderRow="1" firstDataRow="2" firstDataCol="2"/>
  <pivotFields count="5">
    <pivotField axis="axisRow" compact="0" outline="0" showAll="0" defaultSubtotal="0">
      <items count="22">
        <item x="0"/>
        <item x="20"/>
        <item x="21"/>
        <item x="6"/>
        <item x="13"/>
        <item x="12"/>
        <item x="15"/>
        <item x="11"/>
        <item x="17"/>
        <item x="19"/>
        <item x="18"/>
        <item x="14"/>
        <item x="16"/>
        <item x="7"/>
        <item x="9"/>
        <item x="8"/>
        <item x="2"/>
        <item x="4"/>
        <item x="1"/>
        <item x="5"/>
        <item x="10"/>
        <item x="3"/>
      </items>
    </pivotField>
    <pivotField compact="0" outline="0" showAll="0" defaultSubtotal="0"/>
    <pivotField axis="axisRow" compact="0" outline="0"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axis="axisCol" compact="0" outline="0" showAll="0" defaultSubtotal="0">
      <items count="8">
        <item x="7"/>
        <item x="6"/>
        <item x="5"/>
        <item x="4"/>
        <item x="3"/>
        <item x="2"/>
        <item x="1"/>
        <item x="0"/>
      </items>
    </pivotField>
    <pivotField dataField="1" compact="0" numFmtId="1" outline="0" showAll="0" defaultSubtotal="0">
      <items count="158">
        <item x="43"/>
        <item x="41"/>
        <item x="45"/>
        <item x="37"/>
        <item x="19"/>
        <item x="17"/>
        <item x="21"/>
        <item x="89"/>
        <item x="87"/>
        <item x="66"/>
        <item x="64"/>
        <item x="83"/>
        <item x="68"/>
        <item x="60"/>
        <item x="15"/>
        <item x="39"/>
        <item x="142"/>
        <item x="140"/>
        <item x="136"/>
        <item x="13"/>
        <item x="110"/>
        <item x="108"/>
        <item x="44"/>
        <item x="156"/>
        <item x="154"/>
        <item x="150"/>
        <item x="62"/>
        <item x="104"/>
        <item x="40"/>
        <item x="85"/>
        <item x="106"/>
        <item x="67"/>
        <item x="20"/>
        <item x="127"/>
        <item x="125"/>
        <item x="121"/>
        <item x="86"/>
        <item x="123"/>
        <item x="153"/>
        <item x="139"/>
        <item x="138"/>
        <item x="152"/>
        <item x="46"/>
        <item x="90"/>
        <item x="22"/>
        <item x="69"/>
        <item x="143"/>
        <item x="157"/>
        <item x="111"/>
        <item x="128"/>
        <item x="35"/>
        <item x="141"/>
        <item x="122"/>
        <item x="151"/>
        <item x="137"/>
        <item x="155"/>
        <item x="105"/>
        <item x="84"/>
        <item x="107"/>
        <item x="126"/>
        <item x="61"/>
        <item x="109"/>
        <item x="88"/>
        <item x="38"/>
        <item x="16"/>
        <item x="124"/>
        <item x="14"/>
        <item x="65"/>
        <item x="132"/>
        <item x="42"/>
        <item x="18"/>
        <item x="146"/>
        <item x="96"/>
        <item x="148"/>
        <item x="63"/>
        <item x="129"/>
        <item x="112"/>
        <item x="91"/>
        <item x="92"/>
        <item x="11"/>
        <item x="145"/>
        <item x="70"/>
        <item x="134"/>
        <item x="47"/>
        <item x="98"/>
        <item x="23"/>
        <item x="75"/>
        <item x="94"/>
        <item x="144"/>
        <item x="147"/>
        <item x="118"/>
        <item x="133"/>
        <item x="119"/>
        <item x="77"/>
        <item x="73"/>
        <item x="71"/>
        <item x="149"/>
        <item x="131"/>
        <item x="130"/>
        <item x="135"/>
        <item x="117"/>
        <item x="101"/>
        <item x="50"/>
        <item x="54"/>
        <item x="52"/>
        <item x="4"/>
        <item x="120"/>
        <item x="102"/>
        <item x="28"/>
        <item x="80"/>
        <item x="48"/>
        <item x="57"/>
        <item x="100"/>
        <item x="0"/>
        <item x="81"/>
        <item x="79"/>
        <item x="26"/>
        <item x="103"/>
        <item x="24"/>
        <item x="30"/>
        <item x="33"/>
        <item x="2"/>
        <item x="58"/>
        <item x="9"/>
        <item x="115"/>
        <item x="116"/>
        <item x="56"/>
        <item x="82"/>
        <item x="6"/>
        <item x="113"/>
        <item x="114"/>
        <item x="97"/>
        <item x="32"/>
        <item x="59"/>
        <item x="99"/>
        <item x="34"/>
        <item x="76"/>
        <item x="10"/>
        <item x="93"/>
        <item x="78"/>
        <item x="95"/>
        <item x="72"/>
        <item x="36"/>
        <item x="8"/>
        <item x="74"/>
        <item x="12"/>
        <item x="53"/>
        <item x="55"/>
        <item x="49"/>
        <item x="51"/>
        <item x="29"/>
        <item x="31"/>
        <item x="25"/>
        <item x="27"/>
        <item x="5"/>
        <item x="7"/>
        <item x="1"/>
        <item x="3"/>
      </items>
    </pivotField>
  </pivotFields>
  <rowFields count="2">
    <field x="2"/>
    <field x="0"/>
  </rowFields>
  <rowItems count="26">
    <i>
      <x/>
      <x/>
    </i>
    <i>
      <x v="1"/>
      <x v="18"/>
    </i>
    <i>
      <x v="2"/>
      <x v="16"/>
    </i>
    <i>
      <x v="3"/>
      <x v="21"/>
    </i>
    <i>
      <x v="4"/>
      <x/>
    </i>
    <i>
      <x v="5"/>
      <x v="17"/>
    </i>
    <i>
      <x v="6"/>
      <x v="16"/>
    </i>
    <i>
      <x v="7"/>
      <x v="19"/>
    </i>
    <i>
      <x v="8"/>
      <x v="3"/>
    </i>
    <i>
      <x v="9"/>
      <x v="13"/>
    </i>
    <i>
      <x v="10"/>
      <x v="15"/>
    </i>
    <i>
      <x v="11"/>
      <x v="14"/>
    </i>
    <i>
      <x v="12"/>
      <x v="20"/>
    </i>
    <i>
      <x v="13"/>
      <x v="7"/>
    </i>
    <i>
      <x v="14"/>
      <x v="5"/>
    </i>
    <i>
      <x v="15"/>
      <x v="4"/>
    </i>
    <i>
      <x v="16"/>
      <x v="11"/>
    </i>
    <i>
      <x v="17"/>
      <x v="6"/>
    </i>
    <i>
      <x v="18"/>
      <x v="12"/>
    </i>
    <i>
      <x v="19"/>
      <x v="8"/>
    </i>
    <i>
      <x v="20"/>
      <x v="10"/>
    </i>
    <i>
      <x v="21"/>
      <x v="9"/>
    </i>
    <i>
      <x v="22"/>
      <x v="1"/>
    </i>
    <i>
      <x v="23"/>
      <x v="2"/>
    </i>
    <i>
      <x v="24"/>
      <x v="1"/>
    </i>
    <i>
      <x v="25"/>
      <x v="2"/>
    </i>
  </rowItems>
  <colFields count="1">
    <field x="3"/>
  </colFields>
  <colItems count="8">
    <i>
      <x/>
    </i>
    <i>
      <x v="1"/>
    </i>
    <i>
      <x v="2"/>
    </i>
    <i>
      <x v="3"/>
    </i>
    <i>
      <x v="4"/>
    </i>
    <i>
      <x v="5"/>
    </i>
    <i>
      <x v="6"/>
    </i>
    <i>
      <x v="7"/>
    </i>
  </colItems>
  <dataFields count="1">
    <dataField name="Sum of 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eITemCategory" xr10:uid="{8969DBC5-5D97-E04A-AF69-63DE94C2A91D}" sourceName="lineITemCategory">
  <pivotTables>
    <pivotTable tabId="8" name="PivotTable5"/>
  </pivotTables>
  <data>
    <tabular pivotCacheId="1706542119">
      <items count="7">
        <i x="1" s="1"/>
        <i x="5" s="1"/>
        <i x="2" s="1"/>
        <i x="4" s="1"/>
        <i x="0" s="1"/>
        <i x="3"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Ending" xr10:uid="{C049C4FD-16E4-E946-8453-E61610368032}" sourceName="yearEnding">
  <pivotTables>
    <pivotTable tabId="8" name="PivotTable5"/>
  </pivotTables>
  <data>
    <tabular pivotCacheId="1706542119">
      <items count="8">
        <i x="7" s="1"/>
        <i x="6" s="1"/>
        <i x="5" s="1"/>
        <i x="4" s="1"/>
        <i x="3"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ineITemCategory" xr10:uid="{9D4D03AB-7311-DA43-BC83-C88E2D6E0D4B}" cache="Slicer_lineITemCategory" caption="lineITemCategory" rowHeight="251883"/>
  <slicer name="yearEnding" xr10:uid="{F8E1F2DB-07F8-954F-B5FF-72D47312D742}" cache="Slicer_yearEnding" caption="yearEnding"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E9C10-366C-1F4D-8346-5736198BB6BF}">
  <sheetPr codeName="Sheet7"/>
  <dimension ref="A3:J30"/>
  <sheetViews>
    <sheetView tabSelected="1" topLeftCell="B1" workbookViewId="0">
      <selection activeCell="L1" sqref="L1:L8"/>
    </sheetView>
  </sheetViews>
  <sheetFormatPr baseColWidth="10" defaultRowHeight="16"/>
  <cols>
    <col min="1" max="1" width="15.1640625" customWidth="1"/>
    <col min="2" max="2" width="88.1640625" bestFit="1" customWidth="1"/>
    <col min="3" max="3" width="12.83203125" bestFit="1" customWidth="1"/>
    <col min="4" max="10" width="12.33203125" bestFit="1" customWidth="1"/>
    <col min="11" max="11" width="12.1640625" bestFit="1" customWidth="1"/>
  </cols>
  <sheetData>
    <row r="3" spans="1:10">
      <c r="A3" s="11" t="s">
        <v>48</v>
      </c>
      <c r="C3" s="11" t="s">
        <v>47</v>
      </c>
    </row>
    <row r="4" spans="1:10">
      <c r="A4" s="11" t="s">
        <v>52</v>
      </c>
      <c r="B4" s="11" t="s">
        <v>39</v>
      </c>
      <c r="C4" t="s">
        <v>38</v>
      </c>
      <c r="D4" t="s">
        <v>37</v>
      </c>
      <c r="E4" t="s">
        <v>36</v>
      </c>
      <c r="F4" t="s">
        <v>35</v>
      </c>
      <c r="G4" t="s">
        <v>34</v>
      </c>
      <c r="H4" t="s">
        <v>4</v>
      </c>
      <c r="I4" t="s">
        <v>3</v>
      </c>
      <c r="J4" t="s">
        <v>2</v>
      </c>
    </row>
    <row r="5" spans="1:10">
      <c r="A5">
        <v>1</v>
      </c>
      <c r="B5" t="s">
        <v>6</v>
      </c>
      <c r="C5" s="12">
        <v>0</v>
      </c>
      <c r="D5" s="12">
        <v>0</v>
      </c>
      <c r="E5" s="12">
        <v>0</v>
      </c>
      <c r="F5" s="12">
        <v>132564</v>
      </c>
      <c r="G5" s="12">
        <v>309386</v>
      </c>
      <c r="H5" s="12">
        <v>761759</v>
      </c>
      <c r="I5" s="12">
        <v>1106548</v>
      </c>
      <c r="J5" s="12">
        <v>883461</v>
      </c>
    </row>
    <row r="6" spans="1:10">
      <c r="A6">
        <v>2</v>
      </c>
      <c r="B6" t="s">
        <v>7</v>
      </c>
      <c r="C6" s="12">
        <v>0</v>
      </c>
      <c r="D6" s="12">
        <v>0</v>
      </c>
      <c r="E6" s="12">
        <v>1921877</v>
      </c>
      <c r="F6" s="12">
        <v>3007012</v>
      </c>
      <c r="G6" s="12">
        <v>3740973</v>
      </c>
      <c r="H6" s="12">
        <v>6350766</v>
      </c>
      <c r="I6" s="12">
        <v>9641300</v>
      </c>
      <c r="J6" s="12">
        <v>18514983</v>
      </c>
    </row>
    <row r="7" spans="1:10">
      <c r="A7">
        <v>3</v>
      </c>
      <c r="B7" t="s">
        <v>8</v>
      </c>
      <c r="C7" s="12">
        <v>0</v>
      </c>
      <c r="D7" s="12">
        <v>0</v>
      </c>
      <c r="E7" s="12">
        <v>0</v>
      </c>
      <c r="F7" s="12">
        <v>187136</v>
      </c>
      <c r="G7" s="12">
        <v>290575</v>
      </c>
      <c r="H7" s="12">
        <v>467972</v>
      </c>
      <c r="I7" s="12">
        <v>1001185</v>
      </c>
      <c r="J7" s="12">
        <v>1391041</v>
      </c>
    </row>
    <row r="8" spans="1:10">
      <c r="A8">
        <v>4</v>
      </c>
      <c r="B8" t="s">
        <v>9</v>
      </c>
      <c r="C8" s="12">
        <v>204242</v>
      </c>
      <c r="D8" s="12">
        <v>413256</v>
      </c>
      <c r="E8" s="12">
        <v>2013496</v>
      </c>
      <c r="F8" s="12">
        <v>3198356</v>
      </c>
      <c r="G8" s="12">
        <v>4046025</v>
      </c>
      <c r="H8" s="12">
        <v>7000132</v>
      </c>
      <c r="I8" s="12">
        <v>11758751</v>
      </c>
      <c r="J8" s="12">
        <v>21461268</v>
      </c>
    </row>
    <row r="9" spans="1:10">
      <c r="A9">
        <v>5</v>
      </c>
      <c r="B9" t="s">
        <v>6</v>
      </c>
      <c r="C9" s="12">
        <v>0</v>
      </c>
      <c r="D9" s="12">
        <v>0</v>
      </c>
      <c r="E9" s="12">
        <v>0</v>
      </c>
      <c r="F9" s="12">
        <v>87405</v>
      </c>
      <c r="G9" s="12">
        <v>183376</v>
      </c>
      <c r="H9" s="12">
        <v>481994</v>
      </c>
      <c r="I9" s="12">
        <v>708224</v>
      </c>
      <c r="J9" s="12">
        <v>488425</v>
      </c>
    </row>
    <row r="10" spans="1:10">
      <c r="A10">
        <v>6</v>
      </c>
      <c r="B10" t="s">
        <v>11</v>
      </c>
      <c r="C10" s="12">
        <v>0</v>
      </c>
      <c r="D10" s="12">
        <v>0</v>
      </c>
      <c r="E10" s="12">
        <v>1483321</v>
      </c>
      <c r="F10" s="12">
        <v>2145749</v>
      </c>
      <c r="G10" s="12">
        <v>2823302</v>
      </c>
      <c r="H10" s="12">
        <v>4750081</v>
      </c>
      <c r="I10" s="12">
        <v>7432704</v>
      </c>
      <c r="J10" s="12">
        <v>14173997</v>
      </c>
    </row>
    <row r="11" spans="1:10">
      <c r="A11">
        <v>7</v>
      </c>
      <c r="B11" t="s">
        <v>8</v>
      </c>
      <c r="C11" s="12">
        <v>0</v>
      </c>
      <c r="D11" s="12">
        <v>0</v>
      </c>
      <c r="E11" s="12">
        <v>0</v>
      </c>
      <c r="F11" s="12">
        <v>166931</v>
      </c>
      <c r="G11" s="12">
        <v>286933</v>
      </c>
      <c r="H11" s="12">
        <v>472462</v>
      </c>
      <c r="I11" s="12">
        <v>1229022</v>
      </c>
      <c r="J11" s="12">
        <v>1880354</v>
      </c>
    </row>
    <row r="12" spans="1:10">
      <c r="A12">
        <v>8</v>
      </c>
      <c r="B12" t="s">
        <v>12</v>
      </c>
      <c r="C12" s="12">
        <v>142647</v>
      </c>
      <c r="D12" s="12">
        <v>383189</v>
      </c>
      <c r="E12" s="12">
        <v>1557234</v>
      </c>
      <c r="F12" s="12">
        <v>2316685</v>
      </c>
      <c r="G12" s="12">
        <v>3122522</v>
      </c>
      <c r="H12" s="12">
        <v>5400875</v>
      </c>
      <c r="I12" s="12">
        <v>9536264</v>
      </c>
      <c r="J12" s="12">
        <v>17419247</v>
      </c>
    </row>
    <row r="13" spans="1:10">
      <c r="A13">
        <v>9</v>
      </c>
      <c r="B13" t="s">
        <v>13</v>
      </c>
      <c r="C13" s="12">
        <v>61595</v>
      </c>
      <c r="D13" s="12">
        <v>30067</v>
      </c>
      <c r="E13" s="12">
        <v>456262</v>
      </c>
      <c r="F13" s="12">
        <v>881671</v>
      </c>
      <c r="G13" s="12">
        <v>923503</v>
      </c>
      <c r="H13" s="12">
        <v>1599257</v>
      </c>
      <c r="I13" s="12">
        <v>2222487</v>
      </c>
      <c r="J13" s="12">
        <v>4042021</v>
      </c>
    </row>
    <row r="14" spans="1:10">
      <c r="A14">
        <v>10</v>
      </c>
      <c r="B14" t="s">
        <v>15</v>
      </c>
      <c r="C14" s="12">
        <v>208981</v>
      </c>
      <c r="D14" s="12">
        <v>273978</v>
      </c>
      <c r="E14" s="12">
        <v>231976</v>
      </c>
      <c r="F14" s="12">
        <v>464700</v>
      </c>
      <c r="G14" s="12">
        <v>717900</v>
      </c>
      <c r="H14" s="12">
        <v>834408</v>
      </c>
      <c r="I14" s="12">
        <v>1378073</v>
      </c>
      <c r="J14" s="12">
        <v>1460370</v>
      </c>
    </row>
    <row r="15" spans="1:10">
      <c r="A15">
        <v>11</v>
      </c>
      <c r="B15" t="s">
        <v>16</v>
      </c>
      <c r="C15" s="12">
        <v>104102</v>
      </c>
      <c r="D15" s="12">
        <v>150372</v>
      </c>
      <c r="E15" s="12">
        <v>285569</v>
      </c>
      <c r="F15" s="12">
        <v>603660</v>
      </c>
      <c r="G15" s="12">
        <v>922232</v>
      </c>
      <c r="H15" s="12">
        <v>1432189</v>
      </c>
      <c r="I15" s="12">
        <v>2476500</v>
      </c>
      <c r="J15" s="12">
        <v>2834491</v>
      </c>
    </row>
    <row r="16" spans="1:10">
      <c r="A16">
        <v>12</v>
      </c>
      <c r="B16" t="s">
        <v>17</v>
      </c>
      <c r="C16" s="12">
        <v>0</v>
      </c>
      <c r="D16" s="12">
        <v>0</v>
      </c>
      <c r="E16" s="12">
        <v>0</v>
      </c>
      <c r="F16" s="12">
        <v>0</v>
      </c>
      <c r="G16" s="12">
        <v>0</v>
      </c>
      <c r="H16" s="12">
        <v>0</v>
      </c>
      <c r="I16" s="12">
        <v>0</v>
      </c>
      <c r="J16" s="12">
        <v>135233</v>
      </c>
    </row>
    <row r="17" spans="1:10">
      <c r="A17">
        <v>13</v>
      </c>
      <c r="B17" t="s">
        <v>18</v>
      </c>
      <c r="C17" s="12">
        <v>313083</v>
      </c>
      <c r="D17" s="12">
        <v>424350</v>
      </c>
      <c r="E17" s="12">
        <v>517545</v>
      </c>
      <c r="F17" s="12">
        <v>1068360</v>
      </c>
      <c r="G17" s="12">
        <v>1640132</v>
      </c>
      <c r="H17" s="12">
        <v>2266597</v>
      </c>
      <c r="I17" s="12">
        <v>3854573</v>
      </c>
      <c r="J17" s="12">
        <v>4430094</v>
      </c>
    </row>
    <row r="18" spans="1:10">
      <c r="A18">
        <v>14</v>
      </c>
      <c r="B18" t="s">
        <v>19</v>
      </c>
      <c r="C18" s="12">
        <v>-251488</v>
      </c>
      <c r="D18" s="12">
        <v>-394283</v>
      </c>
      <c r="E18" s="12">
        <v>-61283</v>
      </c>
      <c r="F18" s="12">
        <v>-186689</v>
      </c>
      <c r="G18" s="12">
        <v>-716629</v>
      </c>
      <c r="H18" s="12">
        <v>-667340</v>
      </c>
      <c r="I18" s="12">
        <v>-1632086</v>
      </c>
      <c r="J18" s="12">
        <v>-388073</v>
      </c>
    </row>
    <row r="19" spans="1:10">
      <c r="A19">
        <v>15</v>
      </c>
      <c r="B19" t="s">
        <v>20</v>
      </c>
      <c r="C19" s="12">
        <v>255</v>
      </c>
      <c r="D19" s="12">
        <v>288</v>
      </c>
      <c r="E19" s="12">
        <v>189</v>
      </c>
      <c r="F19" s="12">
        <v>1126</v>
      </c>
      <c r="G19" s="12">
        <v>1508</v>
      </c>
      <c r="H19" s="12">
        <v>8530</v>
      </c>
      <c r="I19" s="12">
        <v>19686</v>
      </c>
      <c r="J19" s="12">
        <v>24533</v>
      </c>
    </row>
    <row r="20" spans="1:10">
      <c r="A20">
        <v>16</v>
      </c>
      <c r="B20" t="s">
        <v>21</v>
      </c>
      <c r="C20" s="12">
        <v>-43</v>
      </c>
      <c r="D20" s="12">
        <v>-254</v>
      </c>
      <c r="E20" s="12">
        <v>-32934</v>
      </c>
      <c r="F20" s="12">
        <v>-100886</v>
      </c>
      <c r="G20" s="12">
        <v>-118851</v>
      </c>
      <c r="H20" s="12">
        <v>-198810</v>
      </c>
      <c r="I20" s="12">
        <v>-471259</v>
      </c>
      <c r="J20" s="12">
        <v>-663071</v>
      </c>
    </row>
    <row r="21" spans="1:10">
      <c r="A21">
        <v>17</v>
      </c>
      <c r="B21" t="s">
        <v>22</v>
      </c>
      <c r="C21" s="12">
        <v>-2646</v>
      </c>
      <c r="D21" s="12">
        <v>-1828</v>
      </c>
      <c r="E21" s="12">
        <v>22602</v>
      </c>
      <c r="F21" s="12">
        <v>1813</v>
      </c>
      <c r="G21" s="12">
        <v>-41652</v>
      </c>
      <c r="H21" s="12">
        <v>111272</v>
      </c>
      <c r="I21" s="12">
        <v>-125373</v>
      </c>
      <c r="J21" s="12">
        <v>21866</v>
      </c>
    </row>
    <row r="22" spans="1:10">
      <c r="A22">
        <v>18</v>
      </c>
      <c r="B22" t="s">
        <v>23</v>
      </c>
      <c r="C22" s="12">
        <v>-253922</v>
      </c>
      <c r="D22" s="12">
        <v>-396077</v>
      </c>
      <c r="E22" s="12">
        <v>-71426</v>
      </c>
      <c r="F22" s="12">
        <v>-284636</v>
      </c>
      <c r="G22" s="12">
        <v>-875624</v>
      </c>
      <c r="H22" s="12">
        <v>-746348</v>
      </c>
      <c r="I22" s="12">
        <v>-2209032</v>
      </c>
      <c r="J22" s="12">
        <v>-1004745</v>
      </c>
    </row>
    <row r="23" spans="1:10">
      <c r="A23">
        <v>19</v>
      </c>
      <c r="B23" t="s">
        <v>24</v>
      </c>
      <c r="C23" s="12">
        <v>489</v>
      </c>
      <c r="D23" s="12">
        <v>136</v>
      </c>
      <c r="E23" s="12">
        <v>2588</v>
      </c>
      <c r="F23" s="12">
        <v>9404</v>
      </c>
      <c r="G23" s="12">
        <v>13039</v>
      </c>
      <c r="H23" s="12">
        <v>26698</v>
      </c>
      <c r="I23" s="12">
        <v>31546</v>
      </c>
      <c r="J23" s="12">
        <v>57837</v>
      </c>
    </row>
    <row r="24" spans="1:10">
      <c r="A24">
        <v>20</v>
      </c>
      <c r="B24" t="s">
        <v>25</v>
      </c>
      <c r="C24" s="12">
        <v>-254411</v>
      </c>
      <c r="D24" s="12">
        <v>-396213</v>
      </c>
      <c r="E24" s="12">
        <v>-74014</v>
      </c>
      <c r="F24" s="12">
        <v>-294040</v>
      </c>
      <c r="G24" s="12">
        <v>-888663</v>
      </c>
      <c r="H24" s="12">
        <v>-773046</v>
      </c>
      <c r="I24" s="12">
        <v>-2240578</v>
      </c>
      <c r="J24" s="12">
        <v>-1062582</v>
      </c>
    </row>
    <row r="25" spans="1:10">
      <c r="A25">
        <v>21</v>
      </c>
      <c r="B25" t="s">
        <v>26</v>
      </c>
      <c r="C25" s="12">
        <v>0</v>
      </c>
      <c r="D25" s="12">
        <v>0</v>
      </c>
      <c r="E25" s="12">
        <v>0</v>
      </c>
      <c r="F25" s="12">
        <v>0</v>
      </c>
      <c r="G25" s="12">
        <v>0</v>
      </c>
      <c r="H25" s="12">
        <v>-98132</v>
      </c>
      <c r="I25" s="12">
        <v>-279178</v>
      </c>
      <c r="J25" s="12">
        <v>-86491</v>
      </c>
    </row>
    <row r="26" spans="1:10">
      <c r="A26">
        <v>22</v>
      </c>
      <c r="B26" t="s">
        <v>27</v>
      </c>
      <c r="C26" s="12">
        <v>-254411</v>
      </c>
      <c r="D26" s="12">
        <v>-396213</v>
      </c>
      <c r="E26" s="12">
        <v>-74014</v>
      </c>
      <c r="F26" s="12">
        <v>-294040</v>
      </c>
      <c r="G26" s="12">
        <v>-888663</v>
      </c>
      <c r="H26" s="12">
        <v>-674914</v>
      </c>
      <c r="I26" s="12">
        <v>-1961400</v>
      </c>
      <c r="J26" s="12">
        <v>-976091</v>
      </c>
    </row>
    <row r="27" spans="1:10">
      <c r="A27">
        <v>23</v>
      </c>
      <c r="B27" t="s">
        <v>29</v>
      </c>
      <c r="C27" s="12">
        <v>-2.5299999999999998</v>
      </c>
      <c r="D27" s="12">
        <v>-3.69</v>
      </c>
      <c r="E27" s="12">
        <v>-0.62</v>
      </c>
      <c r="F27" s="12">
        <v>-2.36</v>
      </c>
      <c r="G27" s="12">
        <v>-6.93</v>
      </c>
      <c r="H27" s="12">
        <v>-4.68</v>
      </c>
      <c r="I27" s="12">
        <v>-11.83</v>
      </c>
      <c r="J27" s="12">
        <v>-5.72</v>
      </c>
    </row>
    <row r="28" spans="1:10">
      <c r="A28">
        <v>24</v>
      </c>
      <c r="B28" t="s">
        <v>30</v>
      </c>
      <c r="C28" s="12">
        <v>-2.5299999999999998</v>
      </c>
      <c r="D28" s="12">
        <v>-3.69</v>
      </c>
      <c r="E28" s="12">
        <v>-0.62</v>
      </c>
      <c r="F28" s="12">
        <v>-2.36</v>
      </c>
      <c r="G28" s="12">
        <v>-6.93</v>
      </c>
      <c r="H28" s="12">
        <v>-4.68</v>
      </c>
      <c r="I28" s="12">
        <v>-11.83</v>
      </c>
      <c r="J28" s="12">
        <v>-5.72</v>
      </c>
    </row>
    <row r="29" spans="1:10">
      <c r="A29">
        <v>25</v>
      </c>
      <c r="B29" t="s">
        <v>29</v>
      </c>
      <c r="C29" s="12">
        <v>0</v>
      </c>
      <c r="D29" s="12">
        <v>0</v>
      </c>
      <c r="E29" s="12">
        <v>119421</v>
      </c>
      <c r="F29" s="12">
        <v>124539</v>
      </c>
      <c r="G29" s="12">
        <v>128202</v>
      </c>
      <c r="H29" s="12">
        <v>144212</v>
      </c>
      <c r="I29" s="12">
        <v>165758</v>
      </c>
      <c r="J29" s="12">
        <v>170525</v>
      </c>
    </row>
    <row r="30" spans="1:10">
      <c r="A30">
        <v>26</v>
      </c>
      <c r="B30" t="s">
        <v>30</v>
      </c>
      <c r="C30" s="12">
        <v>0</v>
      </c>
      <c r="D30" s="12">
        <v>0</v>
      </c>
      <c r="E30" s="12">
        <v>119421</v>
      </c>
      <c r="F30" s="12">
        <v>124539</v>
      </c>
      <c r="G30" s="12">
        <v>128202</v>
      </c>
      <c r="H30" s="12">
        <v>144212</v>
      </c>
      <c r="I30" s="12">
        <v>165758</v>
      </c>
      <c r="J30" s="12">
        <v>170525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2C3CD-5DAA-F943-A5CD-DB06C9978018}">
  <dimension ref="A3:J30"/>
  <sheetViews>
    <sheetView workbookViewId="0">
      <selection activeCell="B38" sqref="B38"/>
    </sheetView>
  </sheetViews>
  <sheetFormatPr baseColWidth="10" defaultRowHeight="16"/>
  <cols>
    <col min="1" max="1" width="92.6640625" bestFit="1" customWidth="1"/>
    <col min="2" max="2" width="88.1640625" bestFit="1" customWidth="1"/>
    <col min="3" max="3" width="12.83203125" bestFit="1" customWidth="1"/>
    <col min="4" max="10" width="12.33203125" bestFit="1" customWidth="1"/>
  </cols>
  <sheetData>
    <row r="3" spans="1:10">
      <c r="A3" s="11" t="s">
        <v>48</v>
      </c>
      <c r="C3" s="11" t="s">
        <v>47</v>
      </c>
    </row>
    <row r="4" spans="1:10">
      <c r="A4" s="11" t="s">
        <v>52</v>
      </c>
      <c r="B4" s="11" t="s">
        <v>39</v>
      </c>
      <c r="C4" s="15" t="s">
        <v>38</v>
      </c>
      <c r="D4" s="15" t="s">
        <v>37</v>
      </c>
      <c r="E4" s="15" t="s">
        <v>36</v>
      </c>
      <c r="F4" s="15" t="s">
        <v>35</v>
      </c>
      <c r="G4" s="15" t="s">
        <v>34</v>
      </c>
      <c r="H4" s="15" t="s">
        <v>4</v>
      </c>
      <c r="I4" s="15" t="s">
        <v>3</v>
      </c>
      <c r="J4" s="15" t="s">
        <v>2</v>
      </c>
    </row>
    <row r="5" spans="1:10">
      <c r="A5" s="15">
        <v>1</v>
      </c>
      <c r="B5" s="15" t="s">
        <v>6</v>
      </c>
      <c r="C5" s="12">
        <v>0</v>
      </c>
      <c r="D5" s="12">
        <v>0</v>
      </c>
      <c r="E5" s="12">
        <v>0</v>
      </c>
      <c r="F5" s="12">
        <v>132564</v>
      </c>
      <c r="G5" s="12">
        <v>309386</v>
      </c>
      <c r="H5" s="12">
        <v>761759</v>
      </c>
      <c r="I5" s="12">
        <v>1106548</v>
      </c>
      <c r="J5" s="12">
        <v>883461</v>
      </c>
    </row>
    <row r="6" spans="1:10">
      <c r="A6" s="15">
        <v>2</v>
      </c>
      <c r="B6" s="15" t="s">
        <v>7</v>
      </c>
      <c r="C6" s="12">
        <v>0</v>
      </c>
      <c r="D6" s="12">
        <v>0</v>
      </c>
      <c r="E6" s="12">
        <v>1921877</v>
      </c>
      <c r="F6" s="12">
        <v>3007012</v>
      </c>
      <c r="G6" s="12">
        <v>3740973</v>
      </c>
      <c r="H6" s="12">
        <v>6350766</v>
      </c>
      <c r="I6" s="12">
        <v>9641300</v>
      </c>
      <c r="J6" s="12">
        <v>18514983</v>
      </c>
    </row>
    <row r="7" spans="1:10">
      <c r="A7" s="15">
        <v>3</v>
      </c>
      <c r="B7" s="15" t="s">
        <v>8</v>
      </c>
      <c r="C7" s="12">
        <v>0</v>
      </c>
      <c r="D7" s="12">
        <v>0</v>
      </c>
      <c r="E7" s="12">
        <v>0</v>
      </c>
      <c r="F7" s="12">
        <v>187136</v>
      </c>
      <c r="G7" s="12">
        <v>290575</v>
      </c>
      <c r="H7" s="12">
        <v>467972</v>
      </c>
      <c r="I7" s="12">
        <v>1001185</v>
      </c>
      <c r="J7" s="12">
        <v>1391041</v>
      </c>
    </row>
    <row r="8" spans="1:10">
      <c r="A8" s="15">
        <v>4</v>
      </c>
      <c r="B8" s="15" t="s">
        <v>9</v>
      </c>
      <c r="C8" s="12">
        <v>204242</v>
      </c>
      <c r="D8" s="12">
        <v>413256</v>
      </c>
      <c r="E8" s="12">
        <v>2013496</v>
      </c>
      <c r="F8" s="12">
        <v>3198356</v>
      </c>
      <c r="G8" s="12">
        <v>4046025</v>
      </c>
      <c r="H8" s="12">
        <v>7000132</v>
      </c>
      <c r="I8" s="12">
        <v>11758751</v>
      </c>
      <c r="J8" s="12">
        <v>21461268</v>
      </c>
    </row>
    <row r="9" spans="1:10">
      <c r="A9" s="15">
        <v>5</v>
      </c>
      <c r="B9" s="15" t="s">
        <v>6</v>
      </c>
      <c r="C9" s="12">
        <v>0</v>
      </c>
      <c r="D9" s="12">
        <v>0</v>
      </c>
      <c r="E9" s="12">
        <v>0</v>
      </c>
      <c r="F9" s="12">
        <v>87405</v>
      </c>
      <c r="G9" s="12">
        <v>183376</v>
      </c>
      <c r="H9" s="12">
        <v>481994</v>
      </c>
      <c r="I9" s="12">
        <v>708224</v>
      </c>
      <c r="J9" s="12">
        <v>488425</v>
      </c>
    </row>
    <row r="10" spans="1:10">
      <c r="A10" s="15">
        <v>6</v>
      </c>
      <c r="B10" s="15" t="s">
        <v>11</v>
      </c>
      <c r="C10" s="12">
        <v>0</v>
      </c>
      <c r="D10" s="12">
        <v>0</v>
      </c>
      <c r="E10" s="12">
        <v>1483321</v>
      </c>
      <c r="F10" s="12">
        <v>2145749</v>
      </c>
      <c r="G10" s="12">
        <v>2823302</v>
      </c>
      <c r="H10" s="12">
        <v>4750081</v>
      </c>
      <c r="I10" s="12">
        <v>7432704</v>
      </c>
      <c r="J10" s="12">
        <v>14173997</v>
      </c>
    </row>
    <row r="11" spans="1:10">
      <c r="A11" s="15">
        <v>7</v>
      </c>
      <c r="B11" s="15" t="s">
        <v>8</v>
      </c>
      <c r="C11" s="12">
        <v>0</v>
      </c>
      <c r="D11" s="12">
        <v>0</v>
      </c>
      <c r="E11" s="12">
        <v>0</v>
      </c>
      <c r="F11" s="12">
        <v>166931</v>
      </c>
      <c r="G11" s="12">
        <v>286933</v>
      </c>
      <c r="H11" s="12">
        <v>472462</v>
      </c>
      <c r="I11" s="12">
        <v>1229022</v>
      </c>
      <c r="J11" s="12">
        <v>1880354</v>
      </c>
    </row>
    <row r="12" spans="1:10">
      <c r="A12" s="15">
        <v>8</v>
      </c>
      <c r="B12" s="15" t="s">
        <v>12</v>
      </c>
      <c r="C12" s="12">
        <v>142647</v>
      </c>
      <c r="D12" s="12">
        <v>383189</v>
      </c>
      <c r="E12" s="12">
        <v>1557234</v>
      </c>
      <c r="F12" s="12">
        <v>2316685</v>
      </c>
      <c r="G12" s="12">
        <v>3122522</v>
      </c>
      <c r="H12" s="12">
        <v>5400875</v>
      </c>
      <c r="I12" s="12">
        <v>9536264</v>
      </c>
      <c r="J12" s="12">
        <v>17419247</v>
      </c>
    </row>
    <row r="13" spans="1:10">
      <c r="A13" s="15">
        <v>9</v>
      </c>
      <c r="B13" s="15" t="s">
        <v>13</v>
      </c>
      <c r="C13" s="12">
        <v>61595</v>
      </c>
      <c r="D13" s="12">
        <v>30067</v>
      </c>
      <c r="E13" s="12">
        <v>456262</v>
      </c>
      <c r="F13" s="12">
        <v>881671</v>
      </c>
      <c r="G13" s="12">
        <v>923503</v>
      </c>
      <c r="H13" s="12">
        <v>1599257</v>
      </c>
      <c r="I13" s="12">
        <v>2222487</v>
      </c>
      <c r="J13" s="12">
        <v>4042021</v>
      </c>
    </row>
    <row r="14" spans="1:10">
      <c r="A14" s="15">
        <v>10</v>
      </c>
      <c r="B14" s="15" t="s">
        <v>15</v>
      </c>
      <c r="C14" s="12">
        <v>208981</v>
      </c>
      <c r="D14" s="12">
        <v>273978</v>
      </c>
      <c r="E14" s="12">
        <v>231976</v>
      </c>
      <c r="F14" s="12">
        <v>464700</v>
      </c>
      <c r="G14" s="12">
        <v>717900</v>
      </c>
      <c r="H14" s="12">
        <v>834408</v>
      </c>
      <c r="I14" s="12">
        <v>1378073</v>
      </c>
      <c r="J14" s="12">
        <v>1460370</v>
      </c>
    </row>
    <row r="15" spans="1:10">
      <c r="A15" s="15">
        <v>11</v>
      </c>
      <c r="B15" s="15" t="s">
        <v>16</v>
      </c>
      <c r="C15" s="12">
        <v>104102</v>
      </c>
      <c r="D15" s="12">
        <v>150372</v>
      </c>
      <c r="E15" s="12">
        <v>285569</v>
      </c>
      <c r="F15" s="12">
        <v>603660</v>
      </c>
      <c r="G15" s="12">
        <v>922232</v>
      </c>
      <c r="H15" s="12">
        <v>1432189</v>
      </c>
      <c r="I15" s="12">
        <v>2476500</v>
      </c>
      <c r="J15" s="12">
        <v>2834491</v>
      </c>
    </row>
    <row r="16" spans="1:10">
      <c r="A16" s="15">
        <v>12</v>
      </c>
      <c r="B16" s="15" t="s">
        <v>17</v>
      </c>
      <c r="C16" s="12">
        <v>0</v>
      </c>
      <c r="D16" s="12">
        <v>0</v>
      </c>
      <c r="E16" s="12">
        <v>0</v>
      </c>
      <c r="F16" s="12">
        <v>0</v>
      </c>
      <c r="G16" s="12">
        <v>0</v>
      </c>
      <c r="H16" s="12">
        <v>0</v>
      </c>
      <c r="I16" s="12">
        <v>0</v>
      </c>
      <c r="J16" s="12">
        <v>135233</v>
      </c>
    </row>
    <row r="17" spans="1:10">
      <c r="A17" s="15">
        <v>13</v>
      </c>
      <c r="B17" s="15" t="s">
        <v>18</v>
      </c>
      <c r="C17" s="12">
        <v>313083</v>
      </c>
      <c r="D17" s="12">
        <v>424350</v>
      </c>
      <c r="E17" s="12">
        <v>517545</v>
      </c>
      <c r="F17" s="12">
        <v>1068360</v>
      </c>
      <c r="G17" s="12">
        <v>1640132</v>
      </c>
      <c r="H17" s="12">
        <v>2266597</v>
      </c>
      <c r="I17" s="12">
        <v>3854573</v>
      </c>
      <c r="J17" s="12">
        <v>4430094</v>
      </c>
    </row>
    <row r="18" spans="1:10">
      <c r="A18" s="15">
        <v>14</v>
      </c>
      <c r="B18" s="15" t="s">
        <v>19</v>
      </c>
      <c r="C18" s="12">
        <v>-251488</v>
      </c>
      <c r="D18" s="12">
        <v>-394283</v>
      </c>
      <c r="E18" s="12">
        <v>-61283</v>
      </c>
      <c r="F18" s="12">
        <v>-186689</v>
      </c>
      <c r="G18" s="12">
        <v>-716629</v>
      </c>
      <c r="H18" s="12">
        <v>-667340</v>
      </c>
      <c r="I18" s="12">
        <v>-1632086</v>
      </c>
      <c r="J18" s="12">
        <v>-388073</v>
      </c>
    </row>
    <row r="19" spans="1:10">
      <c r="A19" s="15">
        <v>15</v>
      </c>
      <c r="B19" s="15" t="s">
        <v>20</v>
      </c>
      <c r="C19" s="12">
        <v>255</v>
      </c>
      <c r="D19" s="12">
        <v>288</v>
      </c>
      <c r="E19" s="12">
        <v>189</v>
      </c>
      <c r="F19" s="12">
        <v>1126</v>
      </c>
      <c r="G19" s="12">
        <v>1508</v>
      </c>
      <c r="H19" s="12">
        <v>8530</v>
      </c>
      <c r="I19" s="12">
        <v>19686</v>
      </c>
      <c r="J19" s="12">
        <v>24533</v>
      </c>
    </row>
    <row r="20" spans="1:10">
      <c r="A20" s="15">
        <v>16</v>
      </c>
      <c r="B20" s="15" t="s">
        <v>21</v>
      </c>
      <c r="C20" s="12">
        <v>-43</v>
      </c>
      <c r="D20" s="12">
        <v>-254</v>
      </c>
      <c r="E20" s="12">
        <v>-32934</v>
      </c>
      <c r="F20" s="12">
        <v>-100886</v>
      </c>
      <c r="G20" s="12">
        <v>-118851</v>
      </c>
      <c r="H20" s="12">
        <v>-198810</v>
      </c>
      <c r="I20" s="12">
        <v>-471259</v>
      </c>
      <c r="J20" s="12">
        <v>-663071</v>
      </c>
    </row>
    <row r="21" spans="1:10">
      <c r="A21" s="15">
        <v>17</v>
      </c>
      <c r="B21" s="15" t="s">
        <v>22</v>
      </c>
      <c r="C21" s="12">
        <v>-2646</v>
      </c>
      <c r="D21" s="12">
        <v>-1828</v>
      </c>
      <c r="E21" s="12">
        <v>22602</v>
      </c>
      <c r="F21" s="12">
        <v>1813</v>
      </c>
      <c r="G21" s="12">
        <v>-41652</v>
      </c>
      <c r="H21" s="12">
        <v>111272</v>
      </c>
      <c r="I21" s="12">
        <v>-125373</v>
      </c>
      <c r="J21" s="12">
        <v>21866</v>
      </c>
    </row>
    <row r="22" spans="1:10">
      <c r="A22" s="15">
        <v>18</v>
      </c>
      <c r="B22" s="15" t="s">
        <v>23</v>
      </c>
      <c r="C22" s="12">
        <v>-253922</v>
      </c>
      <c r="D22" s="12">
        <v>-396077</v>
      </c>
      <c r="E22" s="12">
        <v>-71426</v>
      </c>
      <c r="F22" s="12">
        <v>-284636</v>
      </c>
      <c r="G22" s="12">
        <v>-875624</v>
      </c>
      <c r="H22" s="12">
        <v>-746348</v>
      </c>
      <c r="I22" s="12">
        <v>-2209032</v>
      </c>
      <c r="J22" s="12">
        <v>-1004745</v>
      </c>
    </row>
    <row r="23" spans="1:10">
      <c r="A23" s="15">
        <v>19</v>
      </c>
      <c r="B23" s="15" t="s">
        <v>24</v>
      </c>
      <c r="C23" s="12">
        <v>489</v>
      </c>
      <c r="D23" s="12">
        <v>136</v>
      </c>
      <c r="E23" s="12">
        <v>2588</v>
      </c>
      <c r="F23" s="12">
        <v>9404</v>
      </c>
      <c r="G23" s="12">
        <v>13039</v>
      </c>
      <c r="H23" s="12">
        <v>26698</v>
      </c>
      <c r="I23" s="12">
        <v>31546</v>
      </c>
      <c r="J23" s="12">
        <v>57837</v>
      </c>
    </row>
    <row r="24" spans="1:10">
      <c r="A24" s="15">
        <v>20</v>
      </c>
      <c r="B24" s="15" t="s">
        <v>25</v>
      </c>
      <c r="C24" s="12">
        <v>-254411</v>
      </c>
      <c r="D24" s="12">
        <v>-396213</v>
      </c>
      <c r="E24" s="12">
        <v>-74014</v>
      </c>
      <c r="F24" s="12">
        <v>-294040</v>
      </c>
      <c r="G24" s="12">
        <v>-888663</v>
      </c>
      <c r="H24" s="12">
        <v>-773046</v>
      </c>
      <c r="I24" s="12">
        <v>-2240578</v>
      </c>
      <c r="J24" s="12">
        <v>-1062582</v>
      </c>
    </row>
    <row r="25" spans="1:10">
      <c r="A25" s="15">
        <v>21</v>
      </c>
      <c r="B25" s="15" t="s">
        <v>26</v>
      </c>
      <c r="C25" s="12">
        <v>0</v>
      </c>
      <c r="D25" s="12">
        <v>0</v>
      </c>
      <c r="E25" s="12">
        <v>0</v>
      </c>
      <c r="F25" s="12">
        <v>0</v>
      </c>
      <c r="G25" s="12">
        <v>0</v>
      </c>
      <c r="H25" s="12">
        <v>-98132</v>
      </c>
      <c r="I25" s="12">
        <v>-279178</v>
      </c>
      <c r="J25" s="12">
        <v>-86491</v>
      </c>
    </row>
    <row r="26" spans="1:10">
      <c r="A26" s="15">
        <v>22</v>
      </c>
      <c r="B26" s="15" t="s">
        <v>27</v>
      </c>
      <c r="C26" s="12">
        <v>-254411</v>
      </c>
      <c r="D26" s="12">
        <v>-396213</v>
      </c>
      <c r="E26" s="12">
        <v>-74014</v>
      </c>
      <c r="F26" s="12">
        <v>-294040</v>
      </c>
      <c r="G26" s="12">
        <v>-888663</v>
      </c>
      <c r="H26" s="12">
        <v>-674914</v>
      </c>
      <c r="I26" s="12">
        <v>-1961400</v>
      </c>
      <c r="J26" s="12">
        <v>-976091</v>
      </c>
    </row>
    <row r="27" spans="1:10">
      <c r="A27" s="15">
        <v>23</v>
      </c>
      <c r="B27" s="15" t="s">
        <v>29</v>
      </c>
      <c r="C27" s="12">
        <v>-2.5299999999999998</v>
      </c>
      <c r="D27" s="12">
        <v>-3.69</v>
      </c>
      <c r="E27" s="12">
        <v>-0.62</v>
      </c>
      <c r="F27" s="12">
        <v>-2.36</v>
      </c>
      <c r="G27" s="12">
        <v>-6.93</v>
      </c>
      <c r="H27" s="12">
        <v>-4.68</v>
      </c>
      <c r="I27" s="12">
        <v>-11.83</v>
      </c>
      <c r="J27" s="12">
        <v>-5.72</v>
      </c>
    </row>
    <row r="28" spans="1:10">
      <c r="A28" s="15">
        <v>24</v>
      </c>
      <c r="B28" s="15" t="s">
        <v>30</v>
      </c>
      <c r="C28" s="12">
        <v>-2.5299999999999998</v>
      </c>
      <c r="D28" s="12">
        <v>-3.69</v>
      </c>
      <c r="E28" s="12">
        <v>-0.62</v>
      </c>
      <c r="F28" s="12">
        <v>-2.36</v>
      </c>
      <c r="G28" s="12">
        <v>-6.93</v>
      </c>
      <c r="H28" s="12">
        <v>-4.68</v>
      </c>
      <c r="I28" s="12">
        <v>-11.83</v>
      </c>
      <c r="J28" s="12">
        <v>-5.72</v>
      </c>
    </row>
    <row r="29" spans="1:10">
      <c r="A29" s="15">
        <v>25</v>
      </c>
      <c r="B29" s="15" t="s">
        <v>29</v>
      </c>
      <c r="C29" s="12">
        <v>0</v>
      </c>
      <c r="D29" s="12">
        <v>0</v>
      </c>
      <c r="E29" s="12">
        <v>119421</v>
      </c>
      <c r="F29" s="12">
        <v>124539</v>
      </c>
      <c r="G29" s="12">
        <v>128202</v>
      </c>
      <c r="H29" s="12">
        <v>144212</v>
      </c>
      <c r="I29" s="12">
        <v>165758</v>
      </c>
      <c r="J29" s="12">
        <v>170525</v>
      </c>
    </row>
    <row r="30" spans="1:10">
      <c r="A30" s="15">
        <v>26</v>
      </c>
      <c r="B30" s="15" t="s">
        <v>30</v>
      </c>
      <c r="C30" s="12">
        <v>0</v>
      </c>
      <c r="D30" s="12">
        <v>0</v>
      </c>
      <c r="E30" s="12">
        <v>119421</v>
      </c>
      <c r="F30" s="12">
        <v>124539</v>
      </c>
      <c r="G30" s="12">
        <v>128202</v>
      </c>
      <c r="H30" s="12">
        <v>144212</v>
      </c>
      <c r="I30" s="12">
        <v>165758</v>
      </c>
      <c r="J30" s="12">
        <v>170525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E2AAE-4803-3A4E-82E9-29F4B469A1DB}">
  <sheetPr codeName="Sheet3"/>
  <dimension ref="A1:M262"/>
  <sheetViews>
    <sheetView zoomScale="130" zoomScaleNormal="130" workbookViewId="0"/>
  </sheetViews>
  <sheetFormatPr baseColWidth="10" defaultRowHeight="16"/>
  <cols>
    <col min="1" max="1" width="52.6640625" customWidth="1"/>
    <col min="2" max="2" width="12.5" bestFit="1" customWidth="1"/>
    <col min="3" max="3" width="12.5" customWidth="1"/>
    <col min="4" max="4" width="12" bestFit="1" customWidth="1"/>
    <col min="5" max="5" width="10" customWidth="1"/>
  </cols>
  <sheetData>
    <row r="1" spans="1:13" ht="16" customHeight="1">
      <c r="A1" s="8" t="s">
        <v>39</v>
      </c>
      <c r="B1" s="8" t="s">
        <v>49</v>
      </c>
      <c r="C1" s="8" t="s">
        <v>52</v>
      </c>
      <c r="D1" s="1" t="s">
        <v>47</v>
      </c>
      <c r="E1" s="1" t="s">
        <v>46</v>
      </c>
      <c r="H1" s="7"/>
      <c r="I1" s="7"/>
      <c r="J1" s="7"/>
      <c r="M1" s="7"/>
    </row>
    <row r="2" spans="1:13" ht="16" customHeight="1">
      <c r="A2" s="3" t="s">
        <v>6</v>
      </c>
      <c r="B2" s="3" t="s">
        <v>5</v>
      </c>
      <c r="C2" s="3">
        <v>1</v>
      </c>
      <c r="D2" s="1" t="s">
        <v>2</v>
      </c>
      <c r="E2" s="9">
        <v>883461</v>
      </c>
      <c r="G2" s="10"/>
      <c r="H2" s="10"/>
      <c r="I2" s="10"/>
      <c r="J2" s="10"/>
    </row>
    <row r="3" spans="1:13" ht="16" customHeight="1">
      <c r="A3" s="3" t="s">
        <v>7</v>
      </c>
      <c r="B3" s="3" t="s">
        <v>5</v>
      </c>
      <c r="C3" s="3">
        <f>C2+1</f>
        <v>2</v>
      </c>
      <c r="D3" s="1" t="s">
        <v>2</v>
      </c>
      <c r="E3" s="9">
        <v>18514983</v>
      </c>
      <c r="G3" s="10"/>
      <c r="H3" s="10"/>
      <c r="I3" s="10"/>
      <c r="J3" s="10"/>
    </row>
    <row r="4" spans="1:13" ht="16" customHeight="1">
      <c r="A4" s="3" t="s">
        <v>8</v>
      </c>
      <c r="B4" s="3" t="s">
        <v>5</v>
      </c>
      <c r="C4" s="3">
        <f t="shared" ref="C4:C27" si="0">C3+1</f>
        <v>3</v>
      </c>
      <c r="D4" s="1" t="s">
        <v>2</v>
      </c>
      <c r="E4" s="9">
        <v>1391041</v>
      </c>
      <c r="G4" s="10"/>
      <c r="H4" s="10"/>
      <c r="I4" s="10"/>
      <c r="J4" s="10"/>
    </row>
    <row r="5" spans="1:13" ht="16" customHeight="1">
      <c r="A5" s="3" t="s">
        <v>9</v>
      </c>
      <c r="B5" s="3" t="s">
        <v>5</v>
      </c>
      <c r="C5" s="3">
        <f t="shared" si="0"/>
        <v>4</v>
      </c>
      <c r="D5" s="1" t="s">
        <v>2</v>
      </c>
      <c r="E5" s="9">
        <v>21461268</v>
      </c>
      <c r="F5" s="10"/>
      <c r="G5" s="10"/>
      <c r="H5" s="10"/>
      <c r="I5" s="10"/>
      <c r="J5" s="10"/>
    </row>
    <row r="6" spans="1:13" ht="16" customHeight="1">
      <c r="A6" s="3" t="s">
        <v>6</v>
      </c>
      <c r="B6" s="3" t="s">
        <v>53</v>
      </c>
      <c r="C6" s="3">
        <f t="shared" si="0"/>
        <v>5</v>
      </c>
      <c r="D6" s="1" t="s">
        <v>2</v>
      </c>
      <c r="E6" s="9">
        <v>488425</v>
      </c>
      <c r="F6" s="10"/>
      <c r="G6" s="10"/>
      <c r="H6" s="10"/>
      <c r="I6" s="10"/>
      <c r="J6" s="10"/>
    </row>
    <row r="7" spans="1:13" ht="16" customHeight="1">
      <c r="A7" s="3" t="s">
        <v>11</v>
      </c>
      <c r="B7" s="3" t="s">
        <v>53</v>
      </c>
      <c r="C7" s="3">
        <f t="shared" si="0"/>
        <v>6</v>
      </c>
      <c r="D7" s="1" t="s">
        <v>2</v>
      </c>
      <c r="E7" s="9">
        <v>14173997</v>
      </c>
      <c r="F7" s="10"/>
      <c r="G7" s="10"/>
      <c r="H7" s="10"/>
      <c r="I7" s="10"/>
      <c r="J7" s="10"/>
    </row>
    <row r="8" spans="1:13" ht="16" customHeight="1">
      <c r="A8" s="3" t="s">
        <v>8</v>
      </c>
      <c r="B8" s="3" t="s">
        <v>53</v>
      </c>
      <c r="C8" s="3">
        <f t="shared" si="0"/>
        <v>7</v>
      </c>
      <c r="D8" s="1" t="s">
        <v>2</v>
      </c>
      <c r="E8" s="9">
        <v>1880354</v>
      </c>
      <c r="F8" s="10"/>
      <c r="G8" s="10"/>
      <c r="H8" s="10"/>
      <c r="I8" s="10"/>
      <c r="J8" s="10"/>
    </row>
    <row r="9" spans="1:13" ht="16" customHeight="1">
      <c r="A9" s="3" t="s">
        <v>12</v>
      </c>
      <c r="B9" s="3" t="s">
        <v>53</v>
      </c>
      <c r="C9" s="3">
        <f t="shared" si="0"/>
        <v>8</v>
      </c>
      <c r="D9" s="1" t="s">
        <v>2</v>
      </c>
      <c r="E9" s="9">
        <v>17419247</v>
      </c>
      <c r="F9" s="10"/>
      <c r="G9" s="10"/>
      <c r="H9" s="10"/>
      <c r="I9" s="10"/>
      <c r="J9" s="10"/>
    </row>
    <row r="10" spans="1:13" ht="16" customHeight="1">
      <c r="A10" s="3" t="s">
        <v>13</v>
      </c>
      <c r="B10" s="3" t="s">
        <v>13</v>
      </c>
      <c r="C10" s="3">
        <f t="shared" si="0"/>
        <v>9</v>
      </c>
      <c r="D10" s="1" t="s">
        <v>2</v>
      </c>
      <c r="E10" s="9">
        <v>4042021</v>
      </c>
      <c r="F10" s="10"/>
      <c r="G10" s="10"/>
      <c r="H10" s="10"/>
      <c r="I10" s="10"/>
      <c r="J10" s="10"/>
    </row>
    <row r="11" spans="1:13" ht="16" customHeight="1">
      <c r="A11" s="3" t="s">
        <v>15</v>
      </c>
      <c r="B11" s="3" t="s">
        <v>54</v>
      </c>
      <c r="C11" s="3">
        <f t="shared" si="0"/>
        <v>10</v>
      </c>
      <c r="D11" s="1" t="s">
        <v>2</v>
      </c>
      <c r="E11" s="9">
        <v>1460370</v>
      </c>
      <c r="F11" s="10"/>
      <c r="G11" s="10"/>
      <c r="H11" s="10"/>
      <c r="I11" s="10"/>
      <c r="J11" s="10"/>
    </row>
    <row r="12" spans="1:13" ht="16" customHeight="1">
      <c r="A12" s="3" t="s">
        <v>16</v>
      </c>
      <c r="B12" s="3" t="s">
        <v>54</v>
      </c>
      <c r="C12" s="3">
        <f t="shared" si="0"/>
        <v>11</v>
      </c>
      <c r="D12" s="1" t="s">
        <v>2</v>
      </c>
      <c r="E12" s="9">
        <v>2834491</v>
      </c>
      <c r="F12" s="10"/>
      <c r="G12" s="10"/>
      <c r="H12" s="10"/>
      <c r="I12" s="10"/>
      <c r="J12" s="10"/>
    </row>
    <row r="13" spans="1:13" ht="16" customHeight="1">
      <c r="A13" s="3" t="s">
        <v>17</v>
      </c>
      <c r="B13" s="3" t="s">
        <v>54</v>
      </c>
      <c r="C13" s="3">
        <f t="shared" si="0"/>
        <v>12</v>
      </c>
      <c r="D13" s="1" t="s">
        <v>2</v>
      </c>
      <c r="E13" s="9">
        <v>135233</v>
      </c>
      <c r="F13" s="10"/>
      <c r="G13" s="10"/>
      <c r="H13" s="10"/>
      <c r="I13" s="10"/>
      <c r="J13" s="10"/>
    </row>
    <row r="14" spans="1:13" ht="16" customHeight="1">
      <c r="A14" s="3" t="s">
        <v>18</v>
      </c>
      <c r="B14" s="3" t="s">
        <v>54</v>
      </c>
      <c r="C14" s="3">
        <f t="shared" si="0"/>
        <v>13</v>
      </c>
      <c r="D14" s="1" t="s">
        <v>2</v>
      </c>
      <c r="E14" s="9">
        <v>4430094</v>
      </c>
      <c r="F14" s="10"/>
      <c r="G14" s="10"/>
      <c r="H14" s="10"/>
      <c r="I14" s="10"/>
      <c r="J14" s="10"/>
    </row>
    <row r="15" spans="1:13" ht="16" customHeight="1">
      <c r="A15" s="3" t="s">
        <v>19</v>
      </c>
      <c r="B15" s="3" t="s">
        <v>54</v>
      </c>
      <c r="C15" s="3">
        <f t="shared" si="0"/>
        <v>14</v>
      </c>
      <c r="D15" s="1" t="s">
        <v>2</v>
      </c>
      <c r="E15" s="9">
        <v>-388073</v>
      </c>
      <c r="F15" s="10"/>
      <c r="G15" s="10"/>
      <c r="H15" s="10"/>
      <c r="I15" s="10"/>
      <c r="J15" s="10"/>
    </row>
    <row r="16" spans="1:13" ht="16" customHeight="1">
      <c r="A16" s="3" t="s">
        <v>20</v>
      </c>
      <c r="B16" s="3" t="s">
        <v>54</v>
      </c>
      <c r="C16" s="3">
        <f t="shared" si="0"/>
        <v>15</v>
      </c>
      <c r="D16" s="1" t="s">
        <v>2</v>
      </c>
      <c r="E16" s="9">
        <v>24533</v>
      </c>
      <c r="F16" s="10"/>
      <c r="G16" s="10"/>
      <c r="H16" s="10"/>
      <c r="I16" s="10"/>
      <c r="J16" s="10"/>
    </row>
    <row r="17" spans="1:10" ht="16" customHeight="1">
      <c r="A17" s="3" t="s">
        <v>21</v>
      </c>
      <c r="B17" s="3" t="s">
        <v>54</v>
      </c>
      <c r="C17" s="3">
        <f t="shared" si="0"/>
        <v>16</v>
      </c>
      <c r="D17" s="1" t="s">
        <v>2</v>
      </c>
      <c r="E17" s="9">
        <v>-663071</v>
      </c>
      <c r="F17" s="10"/>
      <c r="G17" s="10"/>
      <c r="H17" s="10"/>
      <c r="I17" s="10"/>
      <c r="J17" s="10"/>
    </row>
    <row r="18" spans="1:10" ht="16" customHeight="1">
      <c r="A18" s="3" t="s">
        <v>22</v>
      </c>
      <c r="B18" s="3" t="s">
        <v>54</v>
      </c>
      <c r="C18" s="3">
        <f t="shared" si="0"/>
        <v>17</v>
      </c>
      <c r="D18" s="1" t="s">
        <v>2</v>
      </c>
      <c r="E18" s="9">
        <v>21866</v>
      </c>
      <c r="F18" s="10"/>
      <c r="G18" s="10"/>
      <c r="H18" s="10"/>
      <c r="I18" s="10"/>
      <c r="J18" s="10"/>
    </row>
    <row r="19" spans="1:10" ht="16" customHeight="1">
      <c r="A19" s="3" t="s">
        <v>23</v>
      </c>
      <c r="B19" s="3" t="s">
        <v>54</v>
      </c>
      <c r="C19" s="3">
        <f t="shared" si="0"/>
        <v>18</v>
      </c>
      <c r="D19" s="1" t="s">
        <v>2</v>
      </c>
      <c r="E19" s="9">
        <v>-1004745</v>
      </c>
      <c r="F19" s="10"/>
      <c r="G19" s="10"/>
      <c r="H19" s="10"/>
      <c r="I19" s="10"/>
      <c r="J19" s="10"/>
    </row>
    <row r="20" spans="1:10" ht="16" customHeight="1">
      <c r="A20" s="3" t="s">
        <v>24</v>
      </c>
      <c r="B20" s="3" t="s">
        <v>54</v>
      </c>
      <c r="C20" s="3">
        <f t="shared" si="0"/>
        <v>19</v>
      </c>
      <c r="D20" s="1" t="s">
        <v>2</v>
      </c>
      <c r="E20" s="9">
        <v>57837</v>
      </c>
      <c r="F20" s="10"/>
      <c r="G20" s="10"/>
      <c r="H20" s="10"/>
      <c r="I20" s="10"/>
      <c r="J20" s="10"/>
    </row>
    <row r="21" spans="1:10" ht="16" customHeight="1">
      <c r="A21" s="3" t="s">
        <v>25</v>
      </c>
      <c r="B21" s="3" t="s">
        <v>55</v>
      </c>
      <c r="C21" s="3">
        <f t="shared" si="0"/>
        <v>20</v>
      </c>
      <c r="D21" s="1" t="s">
        <v>2</v>
      </c>
      <c r="E21" s="9">
        <v>-1062582</v>
      </c>
      <c r="F21" s="10"/>
      <c r="G21" s="10"/>
      <c r="H21" s="10"/>
      <c r="I21" s="10"/>
      <c r="J21" s="10"/>
    </row>
    <row r="22" spans="1:10" ht="16" customHeight="1">
      <c r="A22" s="3" t="s">
        <v>26</v>
      </c>
      <c r="B22" s="3" t="s">
        <v>55</v>
      </c>
      <c r="C22" s="3">
        <f t="shared" si="0"/>
        <v>21</v>
      </c>
      <c r="D22" s="1" t="s">
        <v>2</v>
      </c>
      <c r="E22" s="9">
        <v>-86491</v>
      </c>
      <c r="F22" s="10"/>
      <c r="G22" s="10"/>
      <c r="H22" s="10"/>
      <c r="I22" s="10"/>
      <c r="J22" s="10"/>
    </row>
    <row r="23" spans="1:10" ht="16" customHeight="1">
      <c r="A23" s="3" t="s">
        <v>27</v>
      </c>
      <c r="B23" s="3" t="s">
        <v>55</v>
      </c>
      <c r="C23" s="3">
        <f t="shared" si="0"/>
        <v>22</v>
      </c>
      <c r="D23" s="1" t="s">
        <v>2</v>
      </c>
      <c r="E23" s="9">
        <v>-976091</v>
      </c>
      <c r="F23" s="10"/>
      <c r="G23" s="10"/>
      <c r="H23" s="10"/>
      <c r="I23" s="10"/>
      <c r="J23" s="10"/>
    </row>
    <row r="24" spans="1:10" ht="16" customHeight="1">
      <c r="A24" s="3" t="s">
        <v>29</v>
      </c>
      <c r="B24" s="3" t="s">
        <v>50</v>
      </c>
      <c r="C24" s="3">
        <f t="shared" si="0"/>
        <v>23</v>
      </c>
      <c r="D24" s="1" t="s">
        <v>2</v>
      </c>
      <c r="E24" s="9">
        <v>-5.72</v>
      </c>
      <c r="F24" s="10"/>
      <c r="G24" s="10"/>
      <c r="H24" s="10"/>
      <c r="I24" s="10"/>
      <c r="J24" s="10"/>
    </row>
    <row r="25" spans="1:10" ht="16" customHeight="1">
      <c r="A25" s="3" t="s">
        <v>30</v>
      </c>
      <c r="B25" s="3" t="s">
        <v>50</v>
      </c>
      <c r="C25" s="3">
        <f t="shared" si="0"/>
        <v>24</v>
      </c>
      <c r="D25" s="1" t="s">
        <v>2</v>
      </c>
      <c r="E25" s="9">
        <v>-5.72</v>
      </c>
      <c r="F25" s="10"/>
      <c r="G25" s="10"/>
      <c r="H25" s="10"/>
      <c r="I25" s="10"/>
      <c r="J25" s="10"/>
    </row>
    <row r="26" spans="1:10" ht="16" customHeight="1">
      <c r="A26" s="3" t="s">
        <v>29</v>
      </c>
      <c r="B26" s="3" t="s">
        <v>51</v>
      </c>
      <c r="C26" s="3">
        <f t="shared" si="0"/>
        <v>25</v>
      </c>
      <c r="D26" s="1" t="s">
        <v>2</v>
      </c>
      <c r="E26" s="9">
        <v>170525</v>
      </c>
      <c r="F26" s="10"/>
      <c r="G26" s="10"/>
      <c r="H26" s="10"/>
      <c r="I26" s="10"/>
      <c r="J26" s="10"/>
    </row>
    <row r="27" spans="1:10" ht="16" customHeight="1">
      <c r="A27" s="3" t="s">
        <v>30</v>
      </c>
      <c r="B27" s="3" t="s">
        <v>51</v>
      </c>
      <c r="C27" s="3">
        <f t="shared" si="0"/>
        <v>26</v>
      </c>
      <c r="D27" s="1" t="s">
        <v>2</v>
      </c>
      <c r="E27" s="9">
        <v>170525</v>
      </c>
      <c r="F27" s="10"/>
      <c r="G27" s="10"/>
      <c r="H27" s="10"/>
      <c r="I27" s="10"/>
      <c r="J27" s="10"/>
    </row>
    <row r="28" spans="1:10" ht="16" customHeight="1">
      <c r="A28" s="3" t="s">
        <v>6</v>
      </c>
      <c r="B28" s="3" t="s">
        <v>5</v>
      </c>
      <c r="C28" s="3">
        <v>1</v>
      </c>
      <c r="D28" s="1" t="s">
        <v>3</v>
      </c>
      <c r="E28" s="9">
        <v>1106548</v>
      </c>
    </row>
    <row r="29" spans="1:10" ht="16" customHeight="1">
      <c r="A29" s="3" t="s">
        <v>7</v>
      </c>
      <c r="B29" s="3" t="s">
        <v>5</v>
      </c>
      <c r="C29" s="3">
        <f>C28+1</f>
        <v>2</v>
      </c>
      <c r="D29" s="1" t="s">
        <v>3</v>
      </c>
      <c r="E29" s="9">
        <v>9641300</v>
      </c>
    </row>
    <row r="30" spans="1:10" ht="16" customHeight="1">
      <c r="A30" s="3" t="s">
        <v>8</v>
      </c>
      <c r="B30" s="3" t="s">
        <v>5</v>
      </c>
      <c r="C30" s="3">
        <f t="shared" ref="C30:C53" si="1">C29+1</f>
        <v>3</v>
      </c>
      <c r="D30" s="1" t="s">
        <v>3</v>
      </c>
      <c r="E30" s="9">
        <v>1001185</v>
      </c>
    </row>
    <row r="31" spans="1:10" ht="16" customHeight="1">
      <c r="A31" s="3" t="s">
        <v>9</v>
      </c>
      <c r="B31" s="3" t="s">
        <v>5</v>
      </c>
      <c r="C31" s="3">
        <f t="shared" si="1"/>
        <v>4</v>
      </c>
      <c r="D31" s="1" t="s">
        <v>3</v>
      </c>
      <c r="E31" s="9">
        <v>11758751</v>
      </c>
    </row>
    <row r="32" spans="1:10" ht="16" customHeight="1">
      <c r="A32" s="3" t="s">
        <v>6</v>
      </c>
      <c r="B32" s="3" t="s">
        <v>53</v>
      </c>
      <c r="C32" s="3">
        <f t="shared" si="1"/>
        <v>5</v>
      </c>
      <c r="D32" s="1" t="s">
        <v>3</v>
      </c>
      <c r="E32" s="9">
        <v>708224</v>
      </c>
    </row>
    <row r="33" spans="1:5" ht="16" customHeight="1">
      <c r="A33" s="3" t="s">
        <v>11</v>
      </c>
      <c r="B33" s="3" t="s">
        <v>53</v>
      </c>
      <c r="C33" s="3">
        <f t="shared" si="1"/>
        <v>6</v>
      </c>
      <c r="D33" s="1" t="s">
        <v>3</v>
      </c>
      <c r="E33" s="9">
        <v>7432704</v>
      </c>
    </row>
    <row r="34" spans="1:5" ht="16" customHeight="1">
      <c r="A34" s="3" t="s">
        <v>8</v>
      </c>
      <c r="B34" s="3" t="s">
        <v>53</v>
      </c>
      <c r="C34" s="3">
        <f t="shared" si="1"/>
        <v>7</v>
      </c>
      <c r="D34" s="1" t="s">
        <v>3</v>
      </c>
      <c r="E34" s="9">
        <v>1229022</v>
      </c>
    </row>
    <row r="35" spans="1:5" ht="16" customHeight="1">
      <c r="A35" s="3" t="s">
        <v>12</v>
      </c>
      <c r="B35" s="3" t="s">
        <v>53</v>
      </c>
      <c r="C35" s="3">
        <f t="shared" si="1"/>
        <v>8</v>
      </c>
      <c r="D35" s="1" t="s">
        <v>3</v>
      </c>
      <c r="E35" s="9">
        <v>9536264</v>
      </c>
    </row>
    <row r="36" spans="1:5" ht="16" customHeight="1">
      <c r="A36" s="3" t="s">
        <v>13</v>
      </c>
      <c r="B36" s="3" t="s">
        <v>13</v>
      </c>
      <c r="C36" s="3">
        <f t="shared" si="1"/>
        <v>9</v>
      </c>
      <c r="D36" s="1" t="s">
        <v>3</v>
      </c>
      <c r="E36" s="9">
        <v>2222487</v>
      </c>
    </row>
    <row r="37" spans="1:5" ht="16" customHeight="1">
      <c r="A37" s="3" t="s">
        <v>15</v>
      </c>
      <c r="B37" s="3" t="s">
        <v>54</v>
      </c>
      <c r="C37" s="3">
        <f t="shared" si="1"/>
        <v>10</v>
      </c>
      <c r="D37" s="1" t="s">
        <v>3</v>
      </c>
      <c r="E37" s="9">
        <v>1378073</v>
      </c>
    </row>
    <row r="38" spans="1:5" ht="16" customHeight="1">
      <c r="A38" s="3" t="s">
        <v>16</v>
      </c>
      <c r="B38" s="3" t="s">
        <v>54</v>
      </c>
      <c r="C38" s="3">
        <f t="shared" si="1"/>
        <v>11</v>
      </c>
      <c r="D38" s="1" t="s">
        <v>3</v>
      </c>
      <c r="E38" s="9">
        <v>2476500</v>
      </c>
    </row>
    <row r="39" spans="1:5" ht="16" customHeight="1">
      <c r="A39" s="3" t="s">
        <v>17</v>
      </c>
      <c r="B39" s="3" t="s">
        <v>54</v>
      </c>
      <c r="C39" s="3">
        <f t="shared" si="1"/>
        <v>12</v>
      </c>
      <c r="D39" s="1" t="s">
        <v>3</v>
      </c>
      <c r="E39" s="9">
        <v>0</v>
      </c>
    </row>
    <row r="40" spans="1:5" ht="16" customHeight="1">
      <c r="A40" s="3" t="s">
        <v>18</v>
      </c>
      <c r="B40" s="3" t="s">
        <v>54</v>
      </c>
      <c r="C40" s="3">
        <f t="shared" si="1"/>
        <v>13</v>
      </c>
      <c r="D40" s="1" t="s">
        <v>3</v>
      </c>
      <c r="E40" s="9">
        <v>3854573</v>
      </c>
    </row>
    <row r="41" spans="1:5" ht="16" customHeight="1">
      <c r="A41" s="3" t="s">
        <v>19</v>
      </c>
      <c r="B41" s="3" t="s">
        <v>54</v>
      </c>
      <c r="C41" s="3">
        <f t="shared" si="1"/>
        <v>14</v>
      </c>
      <c r="D41" s="1" t="s">
        <v>3</v>
      </c>
      <c r="E41" s="9">
        <v>-1632086</v>
      </c>
    </row>
    <row r="42" spans="1:5" ht="16" customHeight="1">
      <c r="A42" s="3" t="s">
        <v>20</v>
      </c>
      <c r="B42" s="3" t="s">
        <v>54</v>
      </c>
      <c r="C42" s="3">
        <f t="shared" si="1"/>
        <v>15</v>
      </c>
      <c r="D42" s="1" t="s">
        <v>3</v>
      </c>
      <c r="E42" s="9">
        <v>19686</v>
      </c>
    </row>
    <row r="43" spans="1:5" ht="16" customHeight="1">
      <c r="A43" s="3" t="s">
        <v>21</v>
      </c>
      <c r="B43" s="3" t="s">
        <v>54</v>
      </c>
      <c r="C43" s="3">
        <f t="shared" si="1"/>
        <v>16</v>
      </c>
      <c r="D43" s="1" t="s">
        <v>3</v>
      </c>
      <c r="E43" s="9">
        <v>-471259</v>
      </c>
    </row>
    <row r="44" spans="1:5" ht="16" customHeight="1">
      <c r="A44" s="3" t="s">
        <v>22</v>
      </c>
      <c r="B44" s="3" t="s">
        <v>54</v>
      </c>
      <c r="C44" s="3">
        <f t="shared" si="1"/>
        <v>17</v>
      </c>
      <c r="D44" s="1" t="s">
        <v>3</v>
      </c>
      <c r="E44" s="9">
        <v>-125373</v>
      </c>
    </row>
    <row r="45" spans="1:5" ht="16" customHeight="1">
      <c r="A45" s="3" t="s">
        <v>23</v>
      </c>
      <c r="B45" s="3" t="s">
        <v>54</v>
      </c>
      <c r="C45" s="3">
        <f t="shared" si="1"/>
        <v>18</v>
      </c>
      <c r="D45" s="1" t="s">
        <v>3</v>
      </c>
      <c r="E45" s="9">
        <v>-2209032</v>
      </c>
    </row>
    <row r="46" spans="1:5" ht="16" customHeight="1">
      <c r="A46" s="3" t="s">
        <v>24</v>
      </c>
      <c r="B46" s="3" t="s">
        <v>54</v>
      </c>
      <c r="C46" s="3">
        <f t="shared" si="1"/>
        <v>19</v>
      </c>
      <c r="D46" s="1" t="s">
        <v>3</v>
      </c>
      <c r="E46" s="9">
        <v>31546</v>
      </c>
    </row>
    <row r="47" spans="1:5" ht="16" customHeight="1">
      <c r="A47" s="3" t="s">
        <v>25</v>
      </c>
      <c r="B47" s="3" t="s">
        <v>55</v>
      </c>
      <c r="C47" s="3">
        <f t="shared" si="1"/>
        <v>20</v>
      </c>
      <c r="D47" s="1" t="s">
        <v>3</v>
      </c>
      <c r="E47" s="9">
        <v>-2240578</v>
      </c>
    </row>
    <row r="48" spans="1:5" ht="16" customHeight="1">
      <c r="A48" s="3" t="s">
        <v>26</v>
      </c>
      <c r="B48" s="3" t="s">
        <v>55</v>
      </c>
      <c r="C48" s="3">
        <f t="shared" si="1"/>
        <v>21</v>
      </c>
      <c r="D48" s="1" t="s">
        <v>3</v>
      </c>
      <c r="E48" s="9">
        <v>-279178</v>
      </c>
    </row>
    <row r="49" spans="1:5" ht="16" customHeight="1">
      <c r="A49" s="3" t="s">
        <v>27</v>
      </c>
      <c r="B49" s="3" t="s">
        <v>55</v>
      </c>
      <c r="C49" s="3">
        <f t="shared" si="1"/>
        <v>22</v>
      </c>
      <c r="D49" s="1" t="s">
        <v>3</v>
      </c>
      <c r="E49" s="9">
        <v>-1961400</v>
      </c>
    </row>
    <row r="50" spans="1:5" ht="16" customHeight="1">
      <c r="A50" s="3" t="s">
        <v>29</v>
      </c>
      <c r="B50" s="3" t="s">
        <v>50</v>
      </c>
      <c r="C50" s="3">
        <f t="shared" si="1"/>
        <v>23</v>
      </c>
      <c r="D50" s="1" t="s">
        <v>3</v>
      </c>
      <c r="E50" s="9">
        <v>-11.83</v>
      </c>
    </row>
    <row r="51" spans="1:5" ht="16" customHeight="1">
      <c r="A51" s="3" t="s">
        <v>30</v>
      </c>
      <c r="B51" s="3" t="s">
        <v>50</v>
      </c>
      <c r="C51" s="3">
        <f t="shared" si="1"/>
        <v>24</v>
      </c>
      <c r="D51" s="1" t="s">
        <v>3</v>
      </c>
      <c r="E51" s="9">
        <v>-11.83</v>
      </c>
    </row>
    <row r="52" spans="1:5" ht="16" customHeight="1">
      <c r="A52" s="3" t="s">
        <v>29</v>
      </c>
      <c r="B52" s="3" t="s">
        <v>51</v>
      </c>
      <c r="C52" s="3">
        <f t="shared" si="1"/>
        <v>25</v>
      </c>
      <c r="D52" s="1" t="s">
        <v>3</v>
      </c>
      <c r="E52" s="9">
        <v>165758</v>
      </c>
    </row>
    <row r="53" spans="1:5" ht="16" customHeight="1">
      <c r="A53" s="3" t="s">
        <v>30</v>
      </c>
      <c r="B53" s="3" t="s">
        <v>51</v>
      </c>
      <c r="C53" s="3">
        <f t="shared" si="1"/>
        <v>26</v>
      </c>
      <c r="D53" s="1" t="s">
        <v>3</v>
      </c>
      <c r="E53" s="9">
        <v>165758</v>
      </c>
    </row>
    <row r="54" spans="1:5" ht="16" customHeight="1">
      <c r="A54" s="3" t="s">
        <v>6</v>
      </c>
      <c r="B54" s="3" t="s">
        <v>5</v>
      </c>
      <c r="C54" s="3">
        <v>1</v>
      </c>
      <c r="D54" s="1" t="s">
        <v>4</v>
      </c>
      <c r="E54" s="9">
        <v>761759</v>
      </c>
    </row>
    <row r="55" spans="1:5" ht="16" customHeight="1">
      <c r="A55" s="3" t="s">
        <v>7</v>
      </c>
      <c r="B55" s="3" t="s">
        <v>5</v>
      </c>
      <c r="C55" s="3">
        <f>C54+1</f>
        <v>2</v>
      </c>
      <c r="D55" s="1" t="s">
        <v>4</v>
      </c>
      <c r="E55" s="9">
        <v>6350766</v>
      </c>
    </row>
    <row r="56" spans="1:5" ht="16" customHeight="1">
      <c r="A56" s="3" t="s">
        <v>8</v>
      </c>
      <c r="B56" s="3" t="s">
        <v>5</v>
      </c>
      <c r="C56" s="3">
        <f t="shared" ref="C56:C79" si="2">C55+1</f>
        <v>3</v>
      </c>
      <c r="D56" s="1" t="s">
        <v>4</v>
      </c>
      <c r="E56" s="9">
        <v>467972</v>
      </c>
    </row>
    <row r="57" spans="1:5" ht="16" customHeight="1">
      <c r="A57" s="3" t="s">
        <v>9</v>
      </c>
      <c r="B57" s="3" t="s">
        <v>5</v>
      </c>
      <c r="C57" s="3">
        <f t="shared" si="2"/>
        <v>4</v>
      </c>
      <c r="D57" s="1" t="s">
        <v>4</v>
      </c>
      <c r="E57" s="9">
        <v>7000132</v>
      </c>
    </row>
    <row r="58" spans="1:5" ht="16" customHeight="1">
      <c r="A58" s="3" t="s">
        <v>6</v>
      </c>
      <c r="B58" s="3" t="s">
        <v>53</v>
      </c>
      <c r="C58" s="3">
        <f t="shared" si="2"/>
        <v>5</v>
      </c>
      <c r="D58" s="1" t="s">
        <v>4</v>
      </c>
      <c r="E58" s="9">
        <v>481994</v>
      </c>
    </row>
    <row r="59" spans="1:5" ht="16" customHeight="1">
      <c r="A59" s="3" t="s">
        <v>11</v>
      </c>
      <c r="B59" s="3" t="s">
        <v>53</v>
      </c>
      <c r="C59" s="3">
        <f t="shared" si="2"/>
        <v>6</v>
      </c>
      <c r="D59" s="1" t="s">
        <v>4</v>
      </c>
      <c r="E59" s="9">
        <v>4750081</v>
      </c>
    </row>
    <row r="60" spans="1:5" ht="16" customHeight="1">
      <c r="A60" s="3" t="s">
        <v>8</v>
      </c>
      <c r="B60" s="3" t="s">
        <v>53</v>
      </c>
      <c r="C60" s="3">
        <f t="shared" si="2"/>
        <v>7</v>
      </c>
      <c r="D60" s="1" t="s">
        <v>4</v>
      </c>
      <c r="E60" s="9">
        <v>472462</v>
      </c>
    </row>
    <row r="61" spans="1:5" ht="16" customHeight="1">
      <c r="A61" s="3" t="s">
        <v>12</v>
      </c>
      <c r="B61" s="3" t="s">
        <v>53</v>
      </c>
      <c r="C61" s="3">
        <f t="shared" si="2"/>
        <v>8</v>
      </c>
      <c r="D61" s="1" t="s">
        <v>4</v>
      </c>
      <c r="E61" s="9">
        <v>5400875</v>
      </c>
    </row>
    <row r="62" spans="1:5" ht="16" customHeight="1">
      <c r="A62" s="3" t="s">
        <v>13</v>
      </c>
      <c r="B62" s="3" t="s">
        <v>13</v>
      </c>
      <c r="C62" s="3">
        <f t="shared" si="2"/>
        <v>9</v>
      </c>
      <c r="D62" s="1" t="s">
        <v>4</v>
      </c>
      <c r="E62" s="9">
        <v>1599257</v>
      </c>
    </row>
    <row r="63" spans="1:5" ht="16" customHeight="1">
      <c r="A63" s="3" t="s">
        <v>15</v>
      </c>
      <c r="B63" s="3" t="s">
        <v>54</v>
      </c>
      <c r="C63" s="3">
        <f t="shared" si="2"/>
        <v>10</v>
      </c>
      <c r="D63" s="1" t="s">
        <v>4</v>
      </c>
      <c r="E63" s="9">
        <v>834408</v>
      </c>
    </row>
    <row r="64" spans="1:5" ht="16" customHeight="1">
      <c r="A64" s="3" t="s">
        <v>16</v>
      </c>
      <c r="B64" s="3" t="s">
        <v>54</v>
      </c>
      <c r="C64" s="3">
        <f t="shared" si="2"/>
        <v>11</v>
      </c>
      <c r="D64" s="1" t="s">
        <v>4</v>
      </c>
      <c r="E64" s="9">
        <v>1432189</v>
      </c>
    </row>
    <row r="65" spans="1:5" ht="16" customHeight="1">
      <c r="A65" s="3" t="s">
        <v>17</v>
      </c>
      <c r="B65" s="3" t="s">
        <v>54</v>
      </c>
      <c r="C65" s="3">
        <f t="shared" si="2"/>
        <v>12</v>
      </c>
      <c r="D65" s="1" t="s">
        <v>4</v>
      </c>
      <c r="E65" s="9">
        <v>0</v>
      </c>
    </row>
    <row r="66" spans="1:5" ht="16" customHeight="1">
      <c r="A66" s="3" t="s">
        <v>18</v>
      </c>
      <c r="B66" s="3" t="s">
        <v>54</v>
      </c>
      <c r="C66" s="3">
        <f t="shared" si="2"/>
        <v>13</v>
      </c>
      <c r="D66" s="1" t="s">
        <v>4</v>
      </c>
      <c r="E66" s="9">
        <v>2266597</v>
      </c>
    </row>
    <row r="67" spans="1:5" ht="16" customHeight="1">
      <c r="A67" s="3" t="s">
        <v>19</v>
      </c>
      <c r="B67" s="3" t="s">
        <v>54</v>
      </c>
      <c r="C67" s="3">
        <f t="shared" si="2"/>
        <v>14</v>
      </c>
      <c r="D67" s="1" t="s">
        <v>4</v>
      </c>
      <c r="E67" s="9">
        <v>-667340</v>
      </c>
    </row>
    <row r="68" spans="1:5" ht="16" customHeight="1">
      <c r="A68" s="3" t="s">
        <v>20</v>
      </c>
      <c r="B68" s="3" t="s">
        <v>54</v>
      </c>
      <c r="C68" s="3">
        <f t="shared" si="2"/>
        <v>15</v>
      </c>
      <c r="D68" s="1" t="s">
        <v>4</v>
      </c>
      <c r="E68" s="9">
        <v>8530</v>
      </c>
    </row>
    <row r="69" spans="1:5" ht="16" customHeight="1">
      <c r="A69" s="3" t="s">
        <v>21</v>
      </c>
      <c r="B69" s="3" t="s">
        <v>54</v>
      </c>
      <c r="C69" s="3">
        <f t="shared" si="2"/>
        <v>16</v>
      </c>
      <c r="D69" s="1" t="s">
        <v>4</v>
      </c>
      <c r="E69" s="9">
        <v>-198810</v>
      </c>
    </row>
    <row r="70" spans="1:5" ht="16" customHeight="1">
      <c r="A70" s="3" t="s">
        <v>22</v>
      </c>
      <c r="B70" s="3" t="s">
        <v>54</v>
      </c>
      <c r="C70" s="3">
        <f t="shared" si="2"/>
        <v>17</v>
      </c>
      <c r="D70" s="1" t="s">
        <v>4</v>
      </c>
      <c r="E70" s="9">
        <v>111272</v>
      </c>
    </row>
    <row r="71" spans="1:5" ht="16" customHeight="1">
      <c r="A71" s="3" t="s">
        <v>23</v>
      </c>
      <c r="B71" s="3" t="s">
        <v>54</v>
      </c>
      <c r="C71" s="3">
        <f t="shared" si="2"/>
        <v>18</v>
      </c>
      <c r="D71" s="1" t="s">
        <v>4</v>
      </c>
      <c r="E71" s="9">
        <v>-746348</v>
      </c>
    </row>
    <row r="72" spans="1:5" ht="16" customHeight="1">
      <c r="A72" s="3" t="s">
        <v>24</v>
      </c>
      <c r="B72" s="3" t="s">
        <v>54</v>
      </c>
      <c r="C72" s="3">
        <f t="shared" si="2"/>
        <v>19</v>
      </c>
      <c r="D72" s="1" t="s">
        <v>4</v>
      </c>
      <c r="E72" s="9">
        <v>26698</v>
      </c>
    </row>
    <row r="73" spans="1:5" ht="16" customHeight="1">
      <c r="A73" s="3" t="s">
        <v>25</v>
      </c>
      <c r="B73" s="3" t="s">
        <v>55</v>
      </c>
      <c r="C73" s="3">
        <f t="shared" si="2"/>
        <v>20</v>
      </c>
      <c r="D73" s="1" t="s">
        <v>4</v>
      </c>
      <c r="E73" s="9">
        <v>-773046</v>
      </c>
    </row>
    <row r="74" spans="1:5" ht="16" customHeight="1">
      <c r="A74" s="3" t="s">
        <v>26</v>
      </c>
      <c r="B74" s="3" t="s">
        <v>55</v>
      </c>
      <c r="C74" s="3">
        <f t="shared" si="2"/>
        <v>21</v>
      </c>
      <c r="D74" s="1" t="s">
        <v>4</v>
      </c>
      <c r="E74" s="9">
        <v>-98132</v>
      </c>
    </row>
    <row r="75" spans="1:5" ht="16" customHeight="1">
      <c r="A75" s="3" t="s">
        <v>27</v>
      </c>
      <c r="B75" s="3" t="s">
        <v>55</v>
      </c>
      <c r="C75" s="3">
        <f t="shared" si="2"/>
        <v>22</v>
      </c>
      <c r="D75" s="1" t="s">
        <v>4</v>
      </c>
      <c r="E75" s="9">
        <v>-674914</v>
      </c>
    </row>
    <row r="76" spans="1:5" ht="16" customHeight="1">
      <c r="A76" s="3" t="s">
        <v>29</v>
      </c>
      <c r="B76" s="3" t="s">
        <v>50</v>
      </c>
      <c r="C76" s="3">
        <f t="shared" si="2"/>
        <v>23</v>
      </c>
      <c r="D76" s="1" t="s">
        <v>4</v>
      </c>
      <c r="E76" s="9">
        <v>-4.68</v>
      </c>
    </row>
    <row r="77" spans="1:5" ht="16" customHeight="1">
      <c r="A77" s="3" t="s">
        <v>30</v>
      </c>
      <c r="B77" s="3" t="s">
        <v>50</v>
      </c>
      <c r="C77" s="3">
        <f t="shared" si="2"/>
        <v>24</v>
      </c>
      <c r="D77" s="1" t="s">
        <v>4</v>
      </c>
      <c r="E77" s="9">
        <v>-4.68</v>
      </c>
    </row>
    <row r="78" spans="1:5" ht="16" customHeight="1">
      <c r="A78" s="3" t="s">
        <v>29</v>
      </c>
      <c r="B78" s="3" t="s">
        <v>51</v>
      </c>
      <c r="C78" s="3">
        <f t="shared" si="2"/>
        <v>25</v>
      </c>
      <c r="D78" s="1" t="s">
        <v>4</v>
      </c>
      <c r="E78" s="9">
        <v>144212</v>
      </c>
    </row>
    <row r="79" spans="1:5" ht="16" customHeight="1">
      <c r="A79" s="3" t="s">
        <v>30</v>
      </c>
      <c r="B79" s="3" t="s">
        <v>51</v>
      </c>
      <c r="C79" s="3">
        <f t="shared" si="2"/>
        <v>26</v>
      </c>
      <c r="D79" s="1" t="s">
        <v>4</v>
      </c>
      <c r="E79" s="9">
        <v>144212</v>
      </c>
    </row>
    <row r="80" spans="1:5" ht="16" customHeight="1">
      <c r="A80" s="3" t="s">
        <v>6</v>
      </c>
      <c r="B80" s="3" t="s">
        <v>5</v>
      </c>
      <c r="C80" s="3">
        <v>1</v>
      </c>
      <c r="D80" t="s">
        <v>34</v>
      </c>
      <c r="E80" s="10">
        <v>309386</v>
      </c>
    </row>
    <row r="81" spans="1:5" ht="16" customHeight="1">
      <c r="A81" s="3" t="s">
        <v>7</v>
      </c>
      <c r="B81" s="3" t="s">
        <v>5</v>
      </c>
      <c r="C81" s="3">
        <f>C80+1</f>
        <v>2</v>
      </c>
      <c r="D81" t="s">
        <v>34</v>
      </c>
      <c r="E81" s="10">
        <v>3740973</v>
      </c>
    </row>
    <row r="82" spans="1:5" ht="16" customHeight="1">
      <c r="A82" s="3" t="s">
        <v>8</v>
      </c>
      <c r="B82" s="3" t="s">
        <v>5</v>
      </c>
      <c r="C82" s="3">
        <f t="shared" ref="C82:C105" si="3">C81+1</f>
        <v>3</v>
      </c>
      <c r="D82" t="s">
        <v>34</v>
      </c>
      <c r="E82" s="10">
        <v>290575</v>
      </c>
    </row>
    <row r="83" spans="1:5" ht="16" customHeight="1">
      <c r="A83" s="3" t="s">
        <v>9</v>
      </c>
      <c r="B83" s="3" t="s">
        <v>5</v>
      </c>
      <c r="C83" s="3">
        <f t="shared" si="3"/>
        <v>4</v>
      </c>
      <c r="D83" t="s">
        <v>34</v>
      </c>
      <c r="E83" s="10">
        <v>4046025</v>
      </c>
    </row>
    <row r="84" spans="1:5" ht="16" customHeight="1">
      <c r="A84" s="3" t="s">
        <v>6</v>
      </c>
      <c r="B84" s="3" t="s">
        <v>53</v>
      </c>
      <c r="C84" s="3">
        <f t="shared" si="3"/>
        <v>5</v>
      </c>
      <c r="D84" t="s">
        <v>34</v>
      </c>
      <c r="E84" s="10">
        <v>183376</v>
      </c>
    </row>
    <row r="85" spans="1:5" ht="16" customHeight="1">
      <c r="A85" s="3" t="s">
        <v>11</v>
      </c>
      <c r="B85" s="3" t="s">
        <v>53</v>
      </c>
      <c r="C85" s="3">
        <f t="shared" si="3"/>
        <v>6</v>
      </c>
      <c r="D85" t="s">
        <v>34</v>
      </c>
      <c r="E85" s="10">
        <v>2823302</v>
      </c>
    </row>
    <row r="86" spans="1:5" ht="16" customHeight="1">
      <c r="A86" s="3" t="s">
        <v>8</v>
      </c>
      <c r="B86" s="3" t="s">
        <v>53</v>
      </c>
      <c r="C86" s="3">
        <f t="shared" si="3"/>
        <v>7</v>
      </c>
      <c r="D86" t="s">
        <v>34</v>
      </c>
      <c r="E86" s="10">
        <v>286933</v>
      </c>
    </row>
    <row r="87" spans="1:5" ht="16" customHeight="1">
      <c r="A87" s="3" t="s">
        <v>12</v>
      </c>
      <c r="B87" s="3" t="s">
        <v>53</v>
      </c>
      <c r="C87" s="3">
        <f t="shared" si="3"/>
        <v>8</v>
      </c>
      <c r="D87" t="s">
        <v>34</v>
      </c>
      <c r="E87" s="10">
        <v>3122522</v>
      </c>
    </row>
    <row r="88" spans="1:5" ht="16" customHeight="1">
      <c r="A88" s="3" t="s">
        <v>13</v>
      </c>
      <c r="B88" s="3" t="s">
        <v>13</v>
      </c>
      <c r="C88" s="3">
        <f t="shared" si="3"/>
        <v>9</v>
      </c>
      <c r="D88" t="s">
        <v>34</v>
      </c>
      <c r="E88" s="10">
        <v>923503</v>
      </c>
    </row>
    <row r="89" spans="1:5" ht="16" customHeight="1">
      <c r="A89" s="3" t="s">
        <v>15</v>
      </c>
      <c r="B89" s="3" t="s">
        <v>54</v>
      </c>
      <c r="C89" s="3">
        <f t="shared" si="3"/>
        <v>10</v>
      </c>
      <c r="D89" t="s">
        <v>34</v>
      </c>
      <c r="E89" s="10">
        <v>717900</v>
      </c>
    </row>
    <row r="90" spans="1:5" ht="16" customHeight="1">
      <c r="A90" s="3" t="s">
        <v>16</v>
      </c>
      <c r="B90" s="3" t="s">
        <v>54</v>
      </c>
      <c r="C90" s="3">
        <f t="shared" si="3"/>
        <v>11</v>
      </c>
      <c r="D90" t="s">
        <v>34</v>
      </c>
      <c r="E90" s="10">
        <v>922232</v>
      </c>
    </row>
    <row r="91" spans="1:5" ht="16" customHeight="1">
      <c r="A91" s="3" t="s">
        <v>17</v>
      </c>
      <c r="B91" s="3" t="s">
        <v>54</v>
      </c>
      <c r="C91" s="3">
        <f t="shared" si="3"/>
        <v>12</v>
      </c>
      <c r="D91" t="s">
        <v>34</v>
      </c>
      <c r="E91" s="10">
        <v>0</v>
      </c>
    </row>
    <row r="92" spans="1:5" ht="16" customHeight="1">
      <c r="A92" s="3" t="s">
        <v>18</v>
      </c>
      <c r="B92" s="3" t="s">
        <v>54</v>
      </c>
      <c r="C92" s="3">
        <f t="shared" si="3"/>
        <v>13</v>
      </c>
      <c r="D92" t="s">
        <v>34</v>
      </c>
      <c r="E92" s="10">
        <v>1640132</v>
      </c>
    </row>
    <row r="93" spans="1:5" ht="16" customHeight="1">
      <c r="A93" s="3" t="s">
        <v>19</v>
      </c>
      <c r="B93" s="3" t="s">
        <v>54</v>
      </c>
      <c r="C93" s="3">
        <f t="shared" si="3"/>
        <v>14</v>
      </c>
      <c r="D93" t="s">
        <v>34</v>
      </c>
      <c r="E93" s="10">
        <v>-716629</v>
      </c>
    </row>
    <row r="94" spans="1:5" ht="16" customHeight="1">
      <c r="A94" s="3" t="s">
        <v>20</v>
      </c>
      <c r="B94" s="3" t="s">
        <v>54</v>
      </c>
      <c r="C94" s="3">
        <f t="shared" si="3"/>
        <v>15</v>
      </c>
      <c r="D94" t="s">
        <v>34</v>
      </c>
      <c r="E94" s="10">
        <v>1508</v>
      </c>
    </row>
    <row r="95" spans="1:5" ht="16" customHeight="1">
      <c r="A95" s="3" t="s">
        <v>21</v>
      </c>
      <c r="B95" s="3" t="s">
        <v>54</v>
      </c>
      <c r="C95" s="3">
        <f t="shared" si="3"/>
        <v>16</v>
      </c>
      <c r="D95" t="s">
        <v>34</v>
      </c>
      <c r="E95" s="10">
        <v>-118851</v>
      </c>
    </row>
    <row r="96" spans="1:5" ht="16" customHeight="1">
      <c r="A96" s="3" t="s">
        <v>22</v>
      </c>
      <c r="B96" s="3" t="s">
        <v>54</v>
      </c>
      <c r="C96" s="3">
        <f t="shared" si="3"/>
        <v>17</v>
      </c>
      <c r="D96" t="s">
        <v>34</v>
      </c>
      <c r="E96" s="10">
        <v>-41652</v>
      </c>
    </row>
    <row r="97" spans="1:5" ht="16" customHeight="1">
      <c r="A97" s="3" t="s">
        <v>23</v>
      </c>
      <c r="B97" s="3" t="s">
        <v>54</v>
      </c>
      <c r="C97" s="3">
        <f t="shared" si="3"/>
        <v>18</v>
      </c>
      <c r="D97" t="s">
        <v>34</v>
      </c>
      <c r="E97" s="10">
        <v>-875624</v>
      </c>
    </row>
    <row r="98" spans="1:5" ht="16" customHeight="1">
      <c r="A98" s="3" t="s">
        <v>24</v>
      </c>
      <c r="B98" s="3" t="s">
        <v>54</v>
      </c>
      <c r="C98" s="3">
        <f t="shared" si="3"/>
        <v>19</v>
      </c>
      <c r="D98" t="s">
        <v>34</v>
      </c>
      <c r="E98" s="10">
        <v>13039</v>
      </c>
    </row>
    <row r="99" spans="1:5" ht="16" customHeight="1">
      <c r="A99" s="3" t="s">
        <v>25</v>
      </c>
      <c r="B99" s="3" t="s">
        <v>55</v>
      </c>
      <c r="C99" s="3">
        <f t="shared" si="3"/>
        <v>20</v>
      </c>
      <c r="D99" t="s">
        <v>34</v>
      </c>
      <c r="E99" s="10">
        <v>-888663</v>
      </c>
    </row>
    <row r="100" spans="1:5" ht="16" customHeight="1">
      <c r="A100" s="3" t="s">
        <v>26</v>
      </c>
      <c r="B100" s="3" t="s">
        <v>55</v>
      </c>
      <c r="C100" s="3">
        <f t="shared" si="3"/>
        <v>21</v>
      </c>
      <c r="D100" t="s">
        <v>34</v>
      </c>
      <c r="E100" s="10">
        <v>0</v>
      </c>
    </row>
    <row r="101" spans="1:5" ht="16" customHeight="1">
      <c r="A101" s="3" t="s">
        <v>27</v>
      </c>
      <c r="B101" s="3" t="s">
        <v>55</v>
      </c>
      <c r="C101" s="3">
        <f t="shared" si="3"/>
        <v>22</v>
      </c>
      <c r="D101" t="s">
        <v>34</v>
      </c>
      <c r="E101" s="10">
        <v>-888663</v>
      </c>
    </row>
    <row r="102" spans="1:5" ht="16" customHeight="1">
      <c r="A102" s="3" t="s">
        <v>29</v>
      </c>
      <c r="B102" s="3" t="s">
        <v>50</v>
      </c>
      <c r="C102" s="3">
        <f t="shared" si="3"/>
        <v>23</v>
      </c>
      <c r="D102" t="s">
        <v>34</v>
      </c>
      <c r="E102" s="10">
        <v>-6.93</v>
      </c>
    </row>
    <row r="103" spans="1:5" ht="16" customHeight="1">
      <c r="A103" s="3" t="s">
        <v>30</v>
      </c>
      <c r="B103" s="3" t="s">
        <v>50</v>
      </c>
      <c r="C103" s="3">
        <f t="shared" si="3"/>
        <v>24</v>
      </c>
      <c r="D103" t="s">
        <v>34</v>
      </c>
      <c r="E103" s="10">
        <v>-6.93</v>
      </c>
    </row>
    <row r="104" spans="1:5" ht="16" customHeight="1">
      <c r="A104" s="3" t="s">
        <v>29</v>
      </c>
      <c r="B104" s="3" t="s">
        <v>51</v>
      </c>
      <c r="C104" s="3">
        <f t="shared" si="3"/>
        <v>25</v>
      </c>
      <c r="D104" t="s">
        <v>34</v>
      </c>
      <c r="E104" s="10">
        <v>128202</v>
      </c>
    </row>
    <row r="105" spans="1:5" ht="16" customHeight="1">
      <c r="A105" s="3" t="s">
        <v>30</v>
      </c>
      <c r="B105" s="3" t="s">
        <v>51</v>
      </c>
      <c r="C105" s="3">
        <f t="shared" si="3"/>
        <v>26</v>
      </c>
      <c r="D105" t="s">
        <v>34</v>
      </c>
      <c r="E105" s="10">
        <v>128202</v>
      </c>
    </row>
    <row r="106" spans="1:5" ht="16" customHeight="1">
      <c r="A106" s="3" t="s">
        <v>6</v>
      </c>
      <c r="B106" s="3" t="s">
        <v>5</v>
      </c>
      <c r="C106" s="3">
        <v>1</v>
      </c>
      <c r="D106" s="1" t="s">
        <v>35</v>
      </c>
      <c r="E106" s="10">
        <v>132564</v>
      </c>
    </row>
    <row r="107" spans="1:5" ht="16" customHeight="1">
      <c r="A107" s="3" t="s">
        <v>7</v>
      </c>
      <c r="B107" s="3" t="s">
        <v>5</v>
      </c>
      <c r="C107" s="3">
        <f>C106+1</f>
        <v>2</v>
      </c>
      <c r="D107" s="1" t="s">
        <v>35</v>
      </c>
      <c r="E107" s="10">
        <v>3007012</v>
      </c>
    </row>
    <row r="108" spans="1:5" ht="16" customHeight="1">
      <c r="A108" s="3" t="s">
        <v>8</v>
      </c>
      <c r="B108" s="3" t="s">
        <v>5</v>
      </c>
      <c r="C108" s="3">
        <f t="shared" ref="C108:C131" si="4">C107+1</f>
        <v>3</v>
      </c>
      <c r="D108" s="1" t="s">
        <v>35</v>
      </c>
      <c r="E108" s="10">
        <v>187136</v>
      </c>
    </row>
    <row r="109" spans="1:5" ht="16" customHeight="1">
      <c r="A109" s="3" t="s">
        <v>9</v>
      </c>
      <c r="B109" s="3" t="s">
        <v>5</v>
      </c>
      <c r="C109" s="3">
        <f t="shared" si="4"/>
        <v>4</v>
      </c>
      <c r="D109" s="1" t="s">
        <v>35</v>
      </c>
      <c r="E109" s="10">
        <v>3198356</v>
      </c>
    </row>
    <row r="110" spans="1:5" ht="16" customHeight="1">
      <c r="A110" s="3" t="s">
        <v>6</v>
      </c>
      <c r="B110" s="3" t="s">
        <v>53</v>
      </c>
      <c r="C110" s="3">
        <f t="shared" si="4"/>
        <v>5</v>
      </c>
      <c r="D110" s="1" t="s">
        <v>35</v>
      </c>
      <c r="E110" s="10">
        <v>87405</v>
      </c>
    </row>
    <row r="111" spans="1:5" ht="16" customHeight="1">
      <c r="A111" s="3" t="s">
        <v>11</v>
      </c>
      <c r="B111" s="3" t="s">
        <v>53</v>
      </c>
      <c r="C111" s="3">
        <f t="shared" si="4"/>
        <v>6</v>
      </c>
      <c r="D111" s="1" t="s">
        <v>35</v>
      </c>
      <c r="E111" s="10">
        <v>2145749</v>
      </c>
    </row>
    <row r="112" spans="1:5" ht="16" customHeight="1">
      <c r="A112" s="3" t="s">
        <v>8</v>
      </c>
      <c r="B112" s="3" t="s">
        <v>53</v>
      </c>
      <c r="C112" s="3">
        <f t="shared" si="4"/>
        <v>7</v>
      </c>
      <c r="D112" s="1" t="s">
        <v>35</v>
      </c>
      <c r="E112" s="10">
        <v>166931</v>
      </c>
    </row>
    <row r="113" spans="1:5" ht="16" customHeight="1">
      <c r="A113" s="3" t="s">
        <v>12</v>
      </c>
      <c r="B113" s="3" t="s">
        <v>53</v>
      </c>
      <c r="C113" s="3">
        <f t="shared" si="4"/>
        <v>8</v>
      </c>
      <c r="D113" s="1" t="s">
        <v>35</v>
      </c>
      <c r="E113" s="10">
        <v>2316685</v>
      </c>
    </row>
    <row r="114" spans="1:5" ht="16" customHeight="1">
      <c r="A114" s="3" t="s">
        <v>13</v>
      </c>
      <c r="B114" s="3" t="s">
        <v>13</v>
      </c>
      <c r="C114" s="3">
        <f t="shared" si="4"/>
        <v>9</v>
      </c>
      <c r="D114" s="1" t="s">
        <v>35</v>
      </c>
      <c r="E114" s="10">
        <v>881671</v>
      </c>
    </row>
    <row r="115" spans="1:5" ht="16" customHeight="1">
      <c r="A115" s="3" t="s">
        <v>15</v>
      </c>
      <c r="B115" s="3" t="s">
        <v>54</v>
      </c>
      <c r="C115" s="3">
        <f t="shared" si="4"/>
        <v>10</v>
      </c>
      <c r="D115" s="1" t="s">
        <v>35</v>
      </c>
      <c r="E115" s="10">
        <v>464700</v>
      </c>
    </row>
    <row r="116" spans="1:5" ht="16" customHeight="1">
      <c r="A116" s="3" t="s">
        <v>16</v>
      </c>
      <c r="B116" s="3" t="s">
        <v>54</v>
      </c>
      <c r="C116" s="3">
        <f t="shared" si="4"/>
        <v>11</v>
      </c>
      <c r="D116" s="1" t="s">
        <v>35</v>
      </c>
      <c r="E116" s="10">
        <v>603660</v>
      </c>
    </row>
    <row r="117" spans="1:5" ht="16" customHeight="1">
      <c r="A117" s="3" t="s">
        <v>17</v>
      </c>
      <c r="B117" s="3" t="s">
        <v>54</v>
      </c>
      <c r="C117" s="3">
        <f t="shared" si="4"/>
        <v>12</v>
      </c>
      <c r="D117" s="1" t="s">
        <v>35</v>
      </c>
      <c r="E117" s="10">
        <v>0</v>
      </c>
    </row>
    <row r="118" spans="1:5" ht="16" customHeight="1">
      <c r="A118" s="3" t="s">
        <v>18</v>
      </c>
      <c r="B118" s="3" t="s">
        <v>54</v>
      </c>
      <c r="C118" s="3">
        <f t="shared" si="4"/>
        <v>13</v>
      </c>
      <c r="D118" s="1" t="s">
        <v>35</v>
      </c>
      <c r="E118" s="10">
        <v>1068360</v>
      </c>
    </row>
    <row r="119" spans="1:5" ht="16" customHeight="1">
      <c r="A119" s="3" t="s">
        <v>19</v>
      </c>
      <c r="B119" s="3" t="s">
        <v>54</v>
      </c>
      <c r="C119" s="3">
        <f t="shared" si="4"/>
        <v>14</v>
      </c>
      <c r="D119" s="1" t="s">
        <v>35</v>
      </c>
      <c r="E119" s="10">
        <v>-186689</v>
      </c>
    </row>
    <row r="120" spans="1:5" ht="16" customHeight="1">
      <c r="A120" s="3" t="s">
        <v>20</v>
      </c>
      <c r="B120" s="3" t="s">
        <v>54</v>
      </c>
      <c r="C120" s="3">
        <f t="shared" si="4"/>
        <v>15</v>
      </c>
      <c r="D120" s="1" t="s">
        <v>35</v>
      </c>
      <c r="E120" s="10">
        <v>1126</v>
      </c>
    </row>
    <row r="121" spans="1:5" ht="16" customHeight="1">
      <c r="A121" s="3" t="s">
        <v>21</v>
      </c>
      <c r="B121" s="3" t="s">
        <v>54</v>
      </c>
      <c r="C121" s="3">
        <f t="shared" si="4"/>
        <v>16</v>
      </c>
      <c r="D121" s="1" t="s">
        <v>35</v>
      </c>
      <c r="E121" s="10">
        <v>-100886</v>
      </c>
    </row>
    <row r="122" spans="1:5" ht="16" customHeight="1">
      <c r="A122" s="3" t="s">
        <v>22</v>
      </c>
      <c r="B122" s="3" t="s">
        <v>54</v>
      </c>
      <c r="C122" s="3">
        <f t="shared" si="4"/>
        <v>17</v>
      </c>
      <c r="D122" s="1" t="s">
        <v>35</v>
      </c>
      <c r="E122" s="10">
        <v>1813</v>
      </c>
    </row>
    <row r="123" spans="1:5" ht="16" customHeight="1">
      <c r="A123" s="3" t="s">
        <v>23</v>
      </c>
      <c r="B123" s="3" t="s">
        <v>54</v>
      </c>
      <c r="C123" s="3">
        <f t="shared" si="4"/>
        <v>18</v>
      </c>
      <c r="D123" s="1" t="s">
        <v>35</v>
      </c>
      <c r="E123" s="10">
        <v>-284636</v>
      </c>
    </row>
    <row r="124" spans="1:5" ht="16" customHeight="1">
      <c r="A124" s="3" t="s">
        <v>24</v>
      </c>
      <c r="B124" s="3" t="s">
        <v>54</v>
      </c>
      <c r="C124" s="3">
        <f t="shared" si="4"/>
        <v>19</v>
      </c>
      <c r="D124" s="1" t="s">
        <v>35</v>
      </c>
      <c r="E124" s="10">
        <v>9404</v>
      </c>
    </row>
    <row r="125" spans="1:5" ht="16" customHeight="1">
      <c r="A125" s="3" t="s">
        <v>25</v>
      </c>
      <c r="B125" s="3" t="s">
        <v>55</v>
      </c>
      <c r="C125" s="3">
        <f t="shared" si="4"/>
        <v>20</v>
      </c>
      <c r="D125" s="1" t="s">
        <v>35</v>
      </c>
      <c r="E125" s="10">
        <v>-294040</v>
      </c>
    </row>
    <row r="126" spans="1:5" ht="16" customHeight="1">
      <c r="A126" s="3" t="s">
        <v>26</v>
      </c>
      <c r="B126" s="3" t="s">
        <v>55</v>
      </c>
      <c r="C126" s="3">
        <f t="shared" si="4"/>
        <v>21</v>
      </c>
      <c r="D126" s="1" t="s">
        <v>35</v>
      </c>
      <c r="E126" s="10">
        <v>0</v>
      </c>
    </row>
    <row r="127" spans="1:5" ht="16" customHeight="1">
      <c r="A127" s="3" t="s">
        <v>27</v>
      </c>
      <c r="B127" s="3" t="s">
        <v>55</v>
      </c>
      <c r="C127" s="3">
        <f t="shared" si="4"/>
        <v>22</v>
      </c>
      <c r="D127" s="1" t="s">
        <v>35</v>
      </c>
      <c r="E127" s="10">
        <v>-294040</v>
      </c>
    </row>
    <row r="128" spans="1:5" ht="16" customHeight="1">
      <c r="A128" s="3" t="s">
        <v>29</v>
      </c>
      <c r="B128" s="3" t="s">
        <v>50</v>
      </c>
      <c r="C128" s="3">
        <f t="shared" si="4"/>
        <v>23</v>
      </c>
      <c r="D128" s="1" t="s">
        <v>35</v>
      </c>
      <c r="E128" s="10">
        <v>-2.36</v>
      </c>
    </row>
    <row r="129" spans="1:5" ht="16" customHeight="1">
      <c r="A129" s="3" t="s">
        <v>30</v>
      </c>
      <c r="B129" s="3" t="s">
        <v>50</v>
      </c>
      <c r="C129" s="3">
        <f t="shared" si="4"/>
        <v>24</v>
      </c>
      <c r="D129" s="1" t="s">
        <v>35</v>
      </c>
      <c r="E129" s="10">
        <v>-2.36</v>
      </c>
    </row>
    <row r="130" spans="1:5" ht="16" customHeight="1">
      <c r="A130" s="3" t="s">
        <v>29</v>
      </c>
      <c r="B130" s="3" t="s">
        <v>51</v>
      </c>
      <c r="C130" s="3">
        <f t="shared" si="4"/>
        <v>25</v>
      </c>
      <c r="D130" s="1" t="s">
        <v>35</v>
      </c>
      <c r="E130" s="10">
        <v>124539</v>
      </c>
    </row>
    <row r="131" spans="1:5" ht="16" customHeight="1">
      <c r="A131" s="3" t="s">
        <v>30</v>
      </c>
      <c r="B131" s="3" t="s">
        <v>51</v>
      </c>
      <c r="C131" s="3">
        <f t="shared" si="4"/>
        <v>26</v>
      </c>
      <c r="D131" s="1" t="s">
        <v>35</v>
      </c>
      <c r="E131" s="10">
        <v>124539</v>
      </c>
    </row>
    <row r="132" spans="1:5" ht="16" customHeight="1">
      <c r="A132" s="3" t="s">
        <v>6</v>
      </c>
      <c r="B132" s="3" t="s">
        <v>5</v>
      </c>
      <c r="C132" s="3">
        <v>1</v>
      </c>
      <c r="D132" s="7" t="s">
        <v>36</v>
      </c>
      <c r="E132" s="10">
        <v>0</v>
      </c>
    </row>
    <row r="133" spans="1:5" ht="16" customHeight="1">
      <c r="A133" s="3" t="s">
        <v>7</v>
      </c>
      <c r="B133" s="3" t="s">
        <v>5</v>
      </c>
      <c r="C133" s="3">
        <f>C132+1</f>
        <v>2</v>
      </c>
      <c r="D133" s="7" t="s">
        <v>36</v>
      </c>
      <c r="E133" s="10">
        <v>1921877</v>
      </c>
    </row>
    <row r="134" spans="1:5" ht="16" customHeight="1">
      <c r="A134" s="3" t="s">
        <v>8</v>
      </c>
      <c r="B134" s="3" t="s">
        <v>5</v>
      </c>
      <c r="C134" s="3">
        <f t="shared" ref="C134:C157" si="5">C133+1</f>
        <v>3</v>
      </c>
      <c r="D134" s="7" t="s">
        <v>36</v>
      </c>
      <c r="E134" s="10">
        <v>0</v>
      </c>
    </row>
    <row r="135" spans="1:5" ht="16" customHeight="1">
      <c r="A135" s="3" t="s">
        <v>9</v>
      </c>
      <c r="B135" s="3" t="s">
        <v>5</v>
      </c>
      <c r="C135" s="3">
        <f t="shared" si="5"/>
        <v>4</v>
      </c>
      <c r="D135" s="7" t="s">
        <v>36</v>
      </c>
      <c r="E135" s="10">
        <v>2013496</v>
      </c>
    </row>
    <row r="136" spans="1:5" ht="16" customHeight="1">
      <c r="A136" s="3" t="s">
        <v>6</v>
      </c>
      <c r="B136" s="3" t="s">
        <v>53</v>
      </c>
      <c r="C136" s="3">
        <f t="shared" si="5"/>
        <v>5</v>
      </c>
      <c r="D136" s="7" t="s">
        <v>36</v>
      </c>
      <c r="E136" s="10">
        <v>0</v>
      </c>
    </row>
    <row r="137" spans="1:5" ht="16" customHeight="1">
      <c r="A137" s="3" t="s">
        <v>11</v>
      </c>
      <c r="B137" s="3" t="s">
        <v>53</v>
      </c>
      <c r="C137" s="3">
        <f t="shared" si="5"/>
        <v>6</v>
      </c>
      <c r="D137" s="7" t="s">
        <v>36</v>
      </c>
      <c r="E137" s="10">
        <v>1483321</v>
      </c>
    </row>
    <row r="138" spans="1:5" ht="16" customHeight="1">
      <c r="A138" s="3" t="s">
        <v>8</v>
      </c>
      <c r="B138" s="3" t="s">
        <v>53</v>
      </c>
      <c r="C138" s="3">
        <f t="shared" si="5"/>
        <v>7</v>
      </c>
      <c r="D138" s="7" t="s">
        <v>36</v>
      </c>
      <c r="E138" s="10">
        <v>0</v>
      </c>
    </row>
    <row r="139" spans="1:5" ht="16" customHeight="1">
      <c r="A139" s="3" t="s">
        <v>12</v>
      </c>
      <c r="B139" s="3" t="s">
        <v>53</v>
      </c>
      <c r="C139" s="3">
        <f t="shared" si="5"/>
        <v>8</v>
      </c>
      <c r="D139" s="7" t="s">
        <v>36</v>
      </c>
      <c r="E139" s="10">
        <v>1557234</v>
      </c>
    </row>
    <row r="140" spans="1:5" ht="16" customHeight="1">
      <c r="A140" s="3" t="s">
        <v>13</v>
      </c>
      <c r="B140" s="3" t="s">
        <v>13</v>
      </c>
      <c r="C140" s="3">
        <f t="shared" si="5"/>
        <v>9</v>
      </c>
      <c r="D140" s="7" t="s">
        <v>36</v>
      </c>
      <c r="E140" s="10">
        <v>456262</v>
      </c>
    </row>
    <row r="141" spans="1:5" ht="16" customHeight="1">
      <c r="A141" s="3" t="s">
        <v>15</v>
      </c>
      <c r="B141" s="3" t="s">
        <v>54</v>
      </c>
      <c r="C141" s="3">
        <f t="shared" si="5"/>
        <v>10</v>
      </c>
      <c r="D141" s="7" t="s">
        <v>36</v>
      </c>
      <c r="E141" s="10">
        <v>231976</v>
      </c>
    </row>
    <row r="142" spans="1:5" ht="16" customHeight="1">
      <c r="A142" s="3" t="s">
        <v>16</v>
      </c>
      <c r="B142" s="3" t="s">
        <v>54</v>
      </c>
      <c r="C142" s="3">
        <f t="shared" si="5"/>
        <v>11</v>
      </c>
      <c r="D142" s="7" t="s">
        <v>36</v>
      </c>
      <c r="E142" s="10">
        <v>285569</v>
      </c>
    </row>
    <row r="143" spans="1:5" ht="16" customHeight="1">
      <c r="A143" s="3" t="s">
        <v>17</v>
      </c>
      <c r="B143" s="3" t="s">
        <v>54</v>
      </c>
      <c r="C143" s="3">
        <f t="shared" si="5"/>
        <v>12</v>
      </c>
      <c r="D143" s="7" t="s">
        <v>36</v>
      </c>
      <c r="E143" s="10">
        <v>0</v>
      </c>
    </row>
    <row r="144" spans="1:5" ht="16" customHeight="1">
      <c r="A144" s="3" t="s">
        <v>18</v>
      </c>
      <c r="B144" s="3" t="s">
        <v>54</v>
      </c>
      <c r="C144" s="3">
        <f t="shared" si="5"/>
        <v>13</v>
      </c>
      <c r="D144" s="7" t="s">
        <v>36</v>
      </c>
      <c r="E144" s="10">
        <v>517545</v>
      </c>
    </row>
    <row r="145" spans="1:5" ht="16" customHeight="1">
      <c r="A145" s="3" t="s">
        <v>19</v>
      </c>
      <c r="B145" s="3" t="s">
        <v>54</v>
      </c>
      <c r="C145" s="3">
        <f t="shared" si="5"/>
        <v>14</v>
      </c>
      <c r="D145" s="7" t="s">
        <v>36</v>
      </c>
      <c r="E145" s="10">
        <v>-61283</v>
      </c>
    </row>
    <row r="146" spans="1:5" ht="16" customHeight="1">
      <c r="A146" s="3" t="s">
        <v>20</v>
      </c>
      <c r="B146" s="3" t="s">
        <v>54</v>
      </c>
      <c r="C146" s="3">
        <f t="shared" si="5"/>
        <v>15</v>
      </c>
      <c r="D146" s="7" t="s">
        <v>36</v>
      </c>
      <c r="E146" s="10">
        <v>189</v>
      </c>
    </row>
    <row r="147" spans="1:5" ht="16" customHeight="1">
      <c r="A147" s="3" t="s">
        <v>21</v>
      </c>
      <c r="B147" s="3" t="s">
        <v>54</v>
      </c>
      <c r="C147" s="3">
        <f t="shared" si="5"/>
        <v>16</v>
      </c>
      <c r="D147" s="7" t="s">
        <v>36</v>
      </c>
      <c r="E147" s="10">
        <v>-32934</v>
      </c>
    </row>
    <row r="148" spans="1:5" ht="16" customHeight="1">
      <c r="A148" s="3" t="s">
        <v>22</v>
      </c>
      <c r="B148" s="3" t="s">
        <v>54</v>
      </c>
      <c r="C148" s="3">
        <f t="shared" si="5"/>
        <v>17</v>
      </c>
      <c r="D148" s="7" t="s">
        <v>36</v>
      </c>
      <c r="E148" s="10">
        <v>22602</v>
      </c>
    </row>
    <row r="149" spans="1:5" ht="16" customHeight="1">
      <c r="A149" s="3" t="s">
        <v>23</v>
      </c>
      <c r="B149" s="3" t="s">
        <v>54</v>
      </c>
      <c r="C149" s="3">
        <f t="shared" si="5"/>
        <v>18</v>
      </c>
      <c r="D149" s="7" t="s">
        <v>36</v>
      </c>
      <c r="E149" s="10">
        <v>-71426</v>
      </c>
    </row>
    <row r="150" spans="1:5" ht="16" customHeight="1">
      <c r="A150" s="3" t="s">
        <v>24</v>
      </c>
      <c r="B150" s="3" t="s">
        <v>54</v>
      </c>
      <c r="C150" s="3">
        <f t="shared" si="5"/>
        <v>19</v>
      </c>
      <c r="D150" s="7" t="s">
        <v>36</v>
      </c>
      <c r="E150" s="10">
        <v>2588</v>
      </c>
    </row>
    <row r="151" spans="1:5" ht="16" customHeight="1">
      <c r="A151" s="3" t="s">
        <v>25</v>
      </c>
      <c r="B151" s="3" t="s">
        <v>55</v>
      </c>
      <c r="C151" s="3">
        <f t="shared" si="5"/>
        <v>20</v>
      </c>
      <c r="D151" s="7" t="s">
        <v>36</v>
      </c>
      <c r="E151" s="10">
        <v>-74014</v>
      </c>
    </row>
    <row r="152" spans="1:5" ht="16" customHeight="1">
      <c r="A152" s="3" t="s">
        <v>26</v>
      </c>
      <c r="B152" s="3" t="s">
        <v>55</v>
      </c>
      <c r="C152" s="3">
        <f t="shared" si="5"/>
        <v>21</v>
      </c>
      <c r="D152" s="7" t="s">
        <v>36</v>
      </c>
      <c r="E152" s="10">
        <v>0</v>
      </c>
    </row>
    <row r="153" spans="1:5" ht="16" customHeight="1">
      <c r="A153" s="3" t="s">
        <v>27</v>
      </c>
      <c r="B153" s="3" t="s">
        <v>55</v>
      </c>
      <c r="C153" s="3">
        <f t="shared" si="5"/>
        <v>22</v>
      </c>
      <c r="D153" s="7" t="s">
        <v>36</v>
      </c>
      <c r="E153" s="10">
        <v>-74014</v>
      </c>
    </row>
    <row r="154" spans="1:5" ht="16" customHeight="1">
      <c r="A154" s="3" t="s">
        <v>29</v>
      </c>
      <c r="B154" s="3" t="s">
        <v>50</v>
      </c>
      <c r="C154" s="3">
        <f t="shared" si="5"/>
        <v>23</v>
      </c>
      <c r="D154" s="7" t="s">
        <v>36</v>
      </c>
      <c r="E154" s="10">
        <v>-0.62</v>
      </c>
    </row>
    <row r="155" spans="1:5" ht="16" customHeight="1">
      <c r="A155" s="3" t="s">
        <v>30</v>
      </c>
      <c r="B155" s="3" t="s">
        <v>50</v>
      </c>
      <c r="C155" s="3">
        <f t="shared" si="5"/>
        <v>24</v>
      </c>
      <c r="D155" s="7" t="s">
        <v>36</v>
      </c>
      <c r="E155" s="10">
        <v>-0.62</v>
      </c>
    </row>
    <row r="156" spans="1:5" ht="16" customHeight="1">
      <c r="A156" s="3" t="s">
        <v>29</v>
      </c>
      <c r="B156" s="3" t="s">
        <v>51</v>
      </c>
      <c r="C156" s="3">
        <f t="shared" si="5"/>
        <v>25</v>
      </c>
      <c r="D156" s="7" t="s">
        <v>36</v>
      </c>
      <c r="E156" s="10">
        <v>119421</v>
      </c>
    </row>
    <row r="157" spans="1:5" ht="16" customHeight="1">
      <c r="A157" s="3" t="s">
        <v>30</v>
      </c>
      <c r="B157" s="3" t="s">
        <v>51</v>
      </c>
      <c r="C157" s="3">
        <f t="shared" si="5"/>
        <v>26</v>
      </c>
      <c r="D157" s="7" t="s">
        <v>36</v>
      </c>
      <c r="E157" s="10">
        <v>119421</v>
      </c>
    </row>
    <row r="158" spans="1:5" ht="16" customHeight="1">
      <c r="A158" s="3" t="s">
        <v>6</v>
      </c>
      <c r="B158" s="3" t="s">
        <v>5</v>
      </c>
      <c r="C158" s="3">
        <v>1</v>
      </c>
      <c r="D158" s="7" t="s">
        <v>37</v>
      </c>
      <c r="E158" s="10">
        <v>0</v>
      </c>
    </row>
    <row r="159" spans="1:5" ht="16" customHeight="1">
      <c r="A159" s="3" t="s">
        <v>7</v>
      </c>
      <c r="B159" s="3" t="s">
        <v>5</v>
      </c>
      <c r="C159" s="3">
        <f>C158+1</f>
        <v>2</v>
      </c>
      <c r="D159" s="7" t="s">
        <v>37</v>
      </c>
      <c r="E159" s="10">
        <v>0</v>
      </c>
    </row>
    <row r="160" spans="1:5" ht="16" customHeight="1">
      <c r="A160" s="3" t="s">
        <v>8</v>
      </c>
      <c r="B160" s="3" t="s">
        <v>5</v>
      </c>
      <c r="C160" s="3">
        <f t="shared" ref="C160:C183" si="6">C159+1</f>
        <v>3</v>
      </c>
      <c r="D160" s="7" t="s">
        <v>37</v>
      </c>
      <c r="E160" s="10">
        <v>0</v>
      </c>
    </row>
    <row r="161" spans="1:5" ht="16" customHeight="1">
      <c r="A161" s="3" t="s">
        <v>9</v>
      </c>
      <c r="B161" s="3" t="s">
        <v>5</v>
      </c>
      <c r="C161" s="3">
        <f t="shared" si="6"/>
        <v>4</v>
      </c>
      <c r="D161" s="7" t="s">
        <v>37</v>
      </c>
      <c r="E161" s="10">
        <v>413256</v>
      </c>
    </row>
    <row r="162" spans="1:5" ht="16" customHeight="1">
      <c r="A162" s="3" t="s">
        <v>6</v>
      </c>
      <c r="B162" s="3" t="s">
        <v>53</v>
      </c>
      <c r="C162" s="3">
        <f t="shared" si="6"/>
        <v>5</v>
      </c>
      <c r="D162" s="7" t="s">
        <v>37</v>
      </c>
      <c r="E162" s="10">
        <v>0</v>
      </c>
    </row>
    <row r="163" spans="1:5" ht="16" customHeight="1">
      <c r="A163" s="3" t="s">
        <v>11</v>
      </c>
      <c r="B163" s="3" t="s">
        <v>53</v>
      </c>
      <c r="C163" s="3">
        <f t="shared" si="6"/>
        <v>6</v>
      </c>
      <c r="D163" s="7" t="s">
        <v>37</v>
      </c>
      <c r="E163" s="10">
        <v>0</v>
      </c>
    </row>
    <row r="164" spans="1:5" ht="16" customHeight="1">
      <c r="A164" s="3" t="s">
        <v>8</v>
      </c>
      <c r="B164" s="3" t="s">
        <v>53</v>
      </c>
      <c r="C164" s="3">
        <f t="shared" si="6"/>
        <v>7</v>
      </c>
      <c r="D164" s="7" t="s">
        <v>37</v>
      </c>
      <c r="E164" s="10">
        <v>0</v>
      </c>
    </row>
    <row r="165" spans="1:5" ht="16" customHeight="1">
      <c r="A165" s="3" t="s">
        <v>12</v>
      </c>
      <c r="B165" s="3" t="s">
        <v>53</v>
      </c>
      <c r="C165" s="3">
        <f t="shared" si="6"/>
        <v>8</v>
      </c>
      <c r="D165" s="7" t="s">
        <v>37</v>
      </c>
      <c r="E165" s="10">
        <v>383189</v>
      </c>
    </row>
    <row r="166" spans="1:5" ht="16" customHeight="1">
      <c r="A166" s="3" t="s">
        <v>13</v>
      </c>
      <c r="B166" s="3" t="s">
        <v>13</v>
      </c>
      <c r="C166" s="3">
        <f t="shared" si="6"/>
        <v>9</v>
      </c>
      <c r="D166" s="7" t="s">
        <v>37</v>
      </c>
      <c r="E166" s="10">
        <v>30067</v>
      </c>
    </row>
    <row r="167" spans="1:5" ht="16" customHeight="1">
      <c r="A167" s="3" t="s">
        <v>15</v>
      </c>
      <c r="B167" s="3" t="s">
        <v>54</v>
      </c>
      <c r="C167" s="3">
        <f t="shared" si="6"/>
        <v>10</v>
      </c>
      <c r="D167" s="7" t="s">
        <v>37</v>
      </c>
      <c r="E167" s="10">
        <v>273978</v>
      </c>
    </row>
    <row r="168" spans="1:5" ht="16" customHeight="1">
      <c r="A168" s="3" t="s">
        <v>16</v>
      </c>
      <c r="B168" s="3" t="s">
        <v>54</v>
      </c>
      <c r="C168" s="3">
        <f t="shared" si="6"/>
        <v>11</v>
      </c>
      <c r="D168" s="7" t="s">
        <v>37</v>
      </c>
      <c r="E168" s="10">
        <v>150372</v>
      </c>
    </row>
    <row r="169" spans="1:5" ht="16" customHeight="1">
      <c r="A169" s="3" t="s">
        <v>17</v>
      </c>
      <c r="B169" s="3" t="s">
        <v>54</v>
      </c>
      <c r="C169" s="3">
        <f t="shared" si="6"/>
        <v>12</v>
      </c>
      <c r="D169" s="7" t="s">
        <v>37</v>
      </c>
      <c r="E169" s="10">
        <v>0</v>
      </c>
    </row>
    <row r="170" spans="1:5" ht="16" customHeight="1">
      <c r="A170" s="3" t="s">
        <v>18</v>
      </c>
      <c r="B170" s="3" t="s">
        <v>54</v>
      </c>
      <c r="C170" s="3">
        <f t="shared" si="6"/>
        <v>13</v>
      </c>
      <c r="D170" s="7" t="s">
        <v>37</v>
      </c>
      <c r="E170" s="10">
        <v>424350</v>
      </c>
    </row>
    <row r="171" spans="1:5" ht="16" customHeight="1">
      <c r="A171" s="3" t="s">
        <v>19</v>
      </c>
      <c r="B171" s="3" t="s">
        <v>54</v>
      </c>
      <c r="C171" s="3">
        <f t="shared" si="6"/>
        <v>14</v>
      </c>
      <c r="D171" s="7" t="s">
        <v>37</v>
      </c>
      <c r="E171" s="10">
        <v>-394283</v>
      </c>
    </row>
    <row r="172" spans="1:5" ht="16" customHeight="1">
      <c r="A172" s="3" t="s">
        <v>20</v>
      </c>
      <c r="B172" s="3" t="s">
        <v>54</v>
      </c>
      <c r="C172" s="3">
        <f t="shared" si="6"/>
        <v>15</v>
      </c>
      <c r="D172" s="7" t="s">
        <v>37</v>
      </c>
      <c r="E172" s="10">
        <v>288</v>
      </c>
    </row>
    <row r="173" spans="1:5" ht="16" customHeight="1">
      <c r="A173" s="3" t="s">
        <v>21</v>
      </c>
      <c r="B173" s="3" t="s">
        <v>54</v>
      </c>
      <c r="C173" s="3">
        <f t="shared" si="6"/>
        <v>16</v>
      </c>
      <c r="D173" s="7" t="s">
        <v>37</v>
      </c>
      <c r="E173" s="10">
        <v>-254</v>
      </c>
    </row>
    <row r="174" spans="1:5" ht="16" customHeight="1">
      <c r="A174" s="3" t="s">
        <v>22</v>
      </c>
      <c r="B174" s="3" t="s">
        <v>54</v>
      </c>
      <c r="C174" s="3">
        <f t="shared" si="6"/>
        <v>17</v>
      </c>
      <c r="D174" s="7" t="s">
        <v>37</v>
      </c>
      <c r="E174" s="10">
        <v>-1828</v>
      </c>
    </row>
    <row r="175" spans="1:5" ht="16" customHeight="1">
      <c r="A175" s="3" t="s">
        <v>23</v>
      </c>
      <c r="B175" s="3" t="s">
        <v>54</v>
      </c>
      <c r="C175" s="3">
        <f t="shared" si="6"/>
        <v>18</v>
      </c>
      <c r="D175" s="7" t="s">
        <v>37</v>
      </c>
      <c r="E175" s="10">
        <v>-396077</v>
      </c>
    </row>
    <row r="176" spans="1:5" ht="16" customHeight="1">
      <c r="A176" s="3" t="s">
        <v>24</v>
      </c>
      <c r="B176" s="3" t="s">
        <v>54</v>
      </c>
      <c r="C176" s="3">
        <f t="shared" si="6"/>
        <v>19</v>
      </c>
      <c r="D176" s="7" t="s">
        <v>37</v>
      </c>
      <c r="E176" s="10">
        <v>136</v>
      </c>
    </row>
    <row r="177" spans="1:5" ht="16" customHeight="1">
      <c r="A177" s="3" t="s">
        <v>25</v>
      </c>
      <c r="B177" s="3" t="s">
        <v>55</v>
      </c>
      <c r="C177" s="3">
        <f t="shared" si="6"/>
        <v>20</v>
      </c>
      <c r="D177" s="7" t="s">
        <v>37</v>
      </c>
      <c r="E177" s="10">
        <v>-396213</v>
      </c>
    </row>
    <row r="178" spans="1:5" ht="16" customHeight="1">
      <c r="A178" s="3" t="s">
        <v>26</v>
      </c>
      <c r="B178" s="3" t="s">
        <v>55</v>
      </c>
      <c r="C178" s="3">
        <f t="shared" si="6"/>
        <v>21</v>
      </c>
      <c r="D178" s="7" t="s">
        <v>37</v>
      </c>
      <c r="E178" s="10">
        <v>0</v>
      </c>
    </row>
    <row r="179" spans="1:5" ht="16" customHeight="1">
      <c r="A179" s="3" t="s">
        <v>27</v>
      </c>
      <c r="B179" s="3" t="s">
        <v>55</v>
      </c>
      <c r="C179" s="3">
        <f t="shared" si="6"/>
        <v>22</v>
      </c>
      <c r="D179" s="7" t="s">
        <v>37</v>
      </c>
      <c r="E179" s="10">
        <v>-396213</v>
      </c>
    </row>
    <row r="180" spans="1:5" ht="16" customHeight="1">
      <c r="A180" s="3" t="s">
        <v>29</v>
      </c>
      <c r="B180" s="3" t="s">
        <v>50</v>
      </c>
      <c r="C180" s="3">
        <f t="shared" si="6"/>
        <v>23</v>
      </c>
      <c r="D180" s="7" t="s">
        <v>37</v>
      </c>
      <c r="E180" s="10">
        <v>-3.69</v>
      </c>
    </row>
    <row r="181" spans="1:5" ht="16" customHeight="1">
      <c r="A181" s="3" t="s">
        <v>30</v>
      </c>
      <c r="B181" s="3" t="s">
        <v>50</v>
      </c>
      <c r="C181" s="3">
        <f t="shared" si="6"/>
        <v>24</v>
      </c>
      <c r="D181" s="7" t="s">
        <v>37</v>
      </c>
      <c r="E181" s="10">
        <v>-3.69</v>
      </c>
    </row>
    <row r="182" spans="1:5" ht="16" customHeight="1">
      <c r="A182" s="3" t="s">
        <v>29</v>
      </c>
      <c r="B182" s="3" t="s">
        <v>51</v>
      </c>
      <c r="C182" s="3">
        <f t="shared" si="6"/>
        <v>25</v>
      </c>
      <c r="D182" s="7" t="s">
        <v>37</v>
      </c>
      <c r="E182" s="10">
        <v>0</v>
      </c>
    </row>
    <row r="183" spans="1:5" ht="16" customHeight="1">
      <c r="A183" s="3" t="s">
        <v>30</v>
      </c>
      <c r="B183" s="3" t="s">
        <v>51</v>
      </c>
      <c r="C183" s="3">
        <f t="shared" si="6"/>
        <v>26</v>
      </c>
      <c r="D183" s="7" t="s">
        <v>37</v>
      </c>
      <c r="E183" s="10">
        <v>0</v>
      </c>
    </row>
    <row r="184" spans="1:5" ht="16" customHeight="1">
      <c r="A184" s="3" t="s">
        <v>6</v>
      </c>
      <c r="B184" s="3" t="s">
        <v>5</v>
      </c>
      <c r="C184" s="3">
        <v>1</v>
      </c>
      <c r="D184" s="7" t="s">
        <v>38</v>
      </c>
      <c r="E184" s="10">
        <v>0</v>
      </c>
    </row>
    <row r="185" spans="1:5" ht="16" customHeight="1">
      <c r="A185" s="3" t="s">
        <v>7</v>
      </c>
      <c r="B185" s="3" t="s">
        <v>5</v>
      </c>
      <c r="C185" s="3">
        <f>C184+1</f>
        <v>2</v>
      </c>
      <c r="D185" s="7" t="s">
        <v>38</v>
      </c>
      <c r="E185" s="10">
        <v>0</v>
      </c>
    </row>
    <row r="186" spans="1:5" ht="16" customHeight="1">
      <c r="A186" s="3" t="s">
        <v>8</v>
      </c>
      <c r="B186" s="3" t="s">
        <v>5</v>
      </c>
      <c r="C186" s="3">
        <f t="shared" ref="C186:C209" si="7">C185+1</f>
        <v>3</v>
      </c>
      <c r="D186" s="7" t="s">
        <v>38</v>
      </c>
      <c r="E186" s="10">
        <v>0</v>
      </c>
    </row>
    <row r="187" spans="1:5" ht="16" customHeight="1">
      <c r="A187" s="3" t="s">
        <v>9</v>
      </c>
      <c r="B187" s="3" t="s">
        <v>5</v>
      </c>
      <c r="C187" s="3">
        <f t="shared" si="7"/>
        <v>4</v>
      </c>
      <c r="D187" s="7" t="s">
        <v>38</v>
      </c>
      <c r="E187" s="10">
        <v>204242</v>
      </c>
    </row>
    <row r="188" spans="1:5" ht="16" customHeight="1">
      <c r="A188" s="3" t="s">
        <v>6</v>
      </c>
      <c r="B188" s="3" t="s">
        <v>53</v>
      </c>
      <c r="C188" s="3">
        <f t="shared" si="7"/>
        <v>5</v>
      </c>
      <c r="D188" s="7" t="s">
        <v>38</v>
      </c>
      <c r="E188" s="10">
        <v>0</v>
      </c>
    </row>
    <row r="189" spans="1:5" ht="16" customHeight="1">
      <c r="A189" s="3" t="s">
        <v>11</v>
      </c>
      <c r="B189" s="3" t="s">
        <v>53</v>
      </c>
      <c r="C189" s="3">
        <f t="shared" si="7"/>
        <v>6</v>
      </c>
      <c r="D189" s="7" t="s">
        <v>38</v>
      </c>
      <c r="E189" s="10">
        <v>0</v>
      </c>
    </row>
    <row r="190" spans="1:5" ht="16" customHeight="1">
      <c r="A190" s="3" t="s">
        <v>8</v>
      </c>
      <c r="B190" s="3" t="s">
        <v>53</v>
      </c>
      <c r="C190" s="3">
        <f t="shared" si="7"/>
        <v>7</v>
      </c>
      <c r="D190" s="7" t="s">
        <v>38</v>
      </c>
      <c r="E190" s="10">
        <v>0</v>
      </c>
    </row>
    <row r="191" spans="1:5" ht="16" customHeight="1">
      <c r="A191" s="3" t="s">
        <v>12</v>
      </c>
      <c r="B191" s="3" t="s">
        <v>53</v>
      </c>
      <c r="C191" s="3">
        <f t="shared" si="7"/>
        <v>8</v>
      </c>
      <c r="D191" s="7" t="s">
        <v>38</v>
      </c>
      <c r="E191" s="10">
        <v>142647</v>
      </c>
    </row>
    <row r="192" spans="1:5" ht="16" customHeight="1">
      <c r="A192" s="3" t="s">
        <v>13</v>
      </c>
      <c r="B192" s="3" t="s">
        <v>13</v>
      </c>
      <c r="C192" s="3">
        <f t="shared" si="7"/>
        <v>9</v>
      </c>
      <c r="D192" s="7" t="s">
        <v>38</v>
      </c>
      <c r="E192" s="10">
        <v>61595</v>
      </c>
    </row>
    <row r="193" spans="1:5" ht="16" customHeight="1">
      <c r="A193" s="3" t="s">
        <v>15</v>
      </c>
      <c r="B193" s="3" t="s">
        <v>54</v>
      </c>
      <c r="C193" s="3">
        <f t="shared" si="7"/>
        <v>10</v>
      </c>
      <c r="D193" s="7" t="s">
        <v>38</v>
      </c>
      <c r="E193" s="10">
        <v>208981</v>
      </c>
    </row>
    <row r="194" spans="1:5" ht="16" customHeight="1">
      <c r="A194" s="3" t="s">
        <v>16</v>
      </c>
      <c r="B194" s="3" t="s">
        <v>54</v>
      </c>
      <c r="C194" s="3">
        <f t="shared" si="7"/>
        <v>11</v>
      </c>
      <c r="D194" s="7" t="s">
        <v>38</v>
      </c>
      <c r="E194" s="10">
        <v>104102</v>
      </c>
    </row>
    <row r="195" spans="1:5" ht="16" customHeight="1">
      <c r="A195" s="3" t="s">
        <v>17</v>
      </c>
      <c r="B195" s="3" t="s">
        <v>54</v>
      </c>
      <c r="C195" s="3">
        <f t="shared" si="7"/>
        <v>12</v>
      </c>
      <c r="D195" s="7" t="s">
        <v>38</v>
      </c>
      <c r="E195" s="10">
        <v>0</v>
      </c>
    </row>
    <row r="196" spans="1:5" ht="16" customHeight="1">
      <c r="A196" s="3" t="s">
        <v>18</v>
      </c>
      <c r="B196" s="3" t="s">
        <v>54</v>
      </c>
      <c r="C196" s="3">
        <f t="shared" si="7"/>
        <v>13</v>
      </c>
      <c r="D196" s="7" t="s">
        <v>38</v>
      </c>
      <c r="E196" s="10">
        <v>313083</v>
      </c>
    </row>
    <row r="197" spans="1:5" ht="16" customHeight="1">
      <c r="A197" s="3" t="s">
        <v>19</v>
      </c>
      <c r="B197" s="3" t="s">
        <v>54</v>
      </c>
      <c r="C197" s="3">
        <f t="shared" si="7"/>
        <v>14</v>
      </c>
      <c r="D197" s="7" t="s">
        <v>38</v>
      </c>
      <c r="E197" s="10">
        <v>-251488</v>
      </c>
    </row>
    <row r="198" spans="1:5" ht="16" customHeight="1">
      <c r="A198" s="3" t="s">
        <v>20</v>
      </c>
      <c r="B198" s="3" t="s">
        <v>54</v>
      </c>
      <c r="C198" s="3">
        <f t="shared" si="7"/>
        <v>15</v>
      </c>
      <c r="D198" s="7" t="s">
        <v>38</v>
      </c>
      <c r="E198" s="10">
        <v>255</v>
      </c>
    </row>
    <row r="199" spans="1:5" ht="16" customHeight="1">
      <c r="A199" s="3" t="s">
        <v>21</v>
      </c>
      <c r="B199" s="3" t="s">
        <v>54</v>
      </c>
      <c r="C199" s="3">
        <f t="shared" si="7"/>
        <v>16</v>
      </c>
      <c r="D199" s="7" t="s">
        <v>38</v>
      </c>
      <c r="E199" s="10">
        <v>-43</v>
      </c>
    </row>
    <row r="200" spans="1:5" ht="16" customHeight="1">
      <c r="A200" s="3" t="s">
        <v>22</v>
      </c>
      <c r="B200" s="3" t="s">
        <v>54</v>
      </c>
      <c r="C200" s="3">
        <f t="shared" si="7"/>
        <v>17</v>
      </c>
      <c r="D200" s="7" t="s">
        <v>38</v>
      </c>
      <c r="E200" s="10">
        <v>-2646</v>
      </c>
    </row>
    <row r="201" spans="1:5" ht="16" customHeight="1">
      <c r="A201" s="3" t="s">
        <v>23</v>
      </c>
      <c r="B201" s="3" t="s">
        <v>54</v>
      </c>
      <c r="C201" s="3">
        <f t="shared" si="7"/>
        <v>18</v>
      </c>
      <c r="D201" s="7" t="s">
        <v>38</v>
      </c>
      <c r="E201" s="10">
        <v>-253922</v>
      </c>
    </row>
    <row r="202" spans="1:5" ht="16" customHeight="1">
      <c r="A202" s="3" t="s">
        <v>24</v>
      </c>
      <c r="B202" s="3" t="s">
        <v>54</v>
      </c>
      <c r="C202" s="3">
        <f t="shared" si="7"/>
        <v>19</v>
      </c>
      <c r="D202" s="7" t="s">
        <v>38</v>
      </c>
      <c r="E202" s="10">
        <v>489</v>
      </c>
    </row>
    <row r="203" spans="1:5" ht="16" customHeight="1">
      <c r="A203" s="3" t="s">
        <v>25</v>
      </c>
      <c r="B203" s="3" t="s">
        <v>55</v>
      </c>
      <c r="C203" s="3">
        <f t="shared" si="7"/>
        <v>20</v>
      </c>
      <c r="D203" s="7" t="s">
        <v>38</v>
      </c>
      <c r="E203" s="10">
        <v>-254411</v>
      </c>
    </row>
    <row r="204" spans="1:5" ht="16" customHeight="1">
      <c r="A204" s="3" t="s">
        <v>26</v>
      </c>
      <c r="B204" s="3" t="s">
        <v>55</v>
      </c>
      <c r="C204" s="3">
        <f t="shared" si="7"/>
        <v>21</v>
      </c>
      <c r="D204" s="7" t="s">
        <v>38</v>
      </c>
      <c r="E204" s="10">
        <v>0</v>
      </c>
    </row>
    <row r="205" spans="1:5" ht="16" customHeight="1">
      <c r="A205" s="3" t="s">
        <v>27</v>
      </c>
      <c r="B205" s="3" t="s">
        <v>55</v>
      </c>
      <c r="C205" s="3">
        <f t="shared" si="7"/>
        <v>22</v>
      </c>
      <c r="D205" s="7" t="s">
        <v>38</v>
      </c>
      <c r="E205" s="10">
        <v>-254411</v>
      </c>
    </row>
    <row r="206" spans="1:5" ht="16" customHeight="1">
      <c r="A206" s="3" t="s">
        <v>29</v>
      </c>
      <c r="B206" s="3" t="s">
        <v>50</v>
      </c>
      <c r="C206" s="3">
        <f t="shared" si="7"/>
        <v>23</v>
      </c>
      <c r="D206" s="7" t="s">
        <v>38</v>
      </c>
      <c r="E206" s="10">
        <v>-2.5299999999999998</v>
      </c>
    </row>
    <row r="207" spans="1:5" ht="16" customHeight="1">
      <c r="A207" s="3" t="s">
        <v>30</v>
      </c>
      <c r="B207" s="3" t="s">
        <v>50</v>
      </c>
      <c r="C207" s="3">
        <f t="shared" si="7"/>
        <v>24</v>
      </c>
      <c r="D207" s="7" t="s">
        <v>38</v>
      </c>
      <c r="E207" s="10">
        <v>-2.5299999999999998</v>
      </c>
    </row>
    <row r="208" spans="1:5" ht="16" customHeight="1">
      <c r="A208" s="3" t="s">
        <v>29</v>
      </c>
      <c r="B208" s="3" t="s">
        <v>51</v>
      </c>
      <c r="C208" s="3">
        <f t="shared" si="7"/>
        <v>25</v>
      </c>
      <c r="D208" s="7" t="s">
        <v>38</v>
      </c>
      <c r="E208" s="10">
        <v>0</v>
      </c>
    </row>
    <row r="209" spans="1:5" ht="16" customHeight="1">
      <c r="A209" s="3" t="s">
        <v>30</v>
      </c>
      <c r="B209" s="3" t="s">
        <v>51</v>
      </c>
      <c r="C209" s="3">
        <f t="shared" si="7"/>
        <v>26</v>
      </c>
      <c r="D209" s="7" t="s">
        <v>38</v>
      </c>
      <c r="E209" s="10">
        <v>0</v>
      </c>
    </row>
    <row r="210" spans="1:5" ht="16" customHeight="1">
      <c r="A210" s="3"/>
      <c r="B210" s="10"/>
    </row>
    <row r="211" spans="1:5" ht="16" customHeight="1">
      <c r="A211" s="3"/>
      <c r="B211" s="10"/>
    </row>
    <row r="212" spans="1:5" ht="16" customHeight="1">
      <c r="A212" s="3"/>
      <c r="B212" s="10"/>
    </row>
    <row r="213" spans="1:5" ht="16" customHeight="1">
      <c r="A213" s="3"/>
      <c r="B213" s="10"/>
    </row>
    <row r="214" spans="1:5" ht="16" customHeight="1">
      <c r="A214" s="3"/>
      <c r="B214" s="10"/>
    </row>
    <row r="215" spans="1:5" ht="16" customHeight="1">
      <c r="A215" s="3"/>
      <c r="B215" s="10"/>
    </row>
    <row r="216" spans="1:5" ht="16" customHeight="1">
      <c r="A216" s="3"/>
    </row>
    <row r="217" spans="1:5" ht="16" customHeight="1">
      <c r="A217" s="3"/>
    </row>
    <row r="218" spans="1:5" ht="16" customHeight="1">
      <c r="A218" s="3"/>
    </row>
    <row r="219" spans="1:5" ht="16" customHeight="1">
      <c r="A219" s="3"/>
    </row>
    <row r="220" spans="1:5" ht="16" customHeight="1">
      <c r="A220" s="3"/>
    </row>
    <row r="221" spans="1:5" ht="16" customHeight="1">
      <c r="A221" s="3"/>
    </row>
    <row r="222" spans="1:5" ht="16" customHeight="1">
      <c r="A222" s="3"/>
    </row>
    <row r="223" spans="1:5" ht="16" customHeight="1">
      <c r="A223" s="3"/>
    </row>
    <row r="224" spans="1:5" ht="16" customHeight="1">
      <c r="A224" s="3"/>
    </row>
    <row r="225" spans="1:1" ht="16" customHeight="1">
      <c r="A225" s="3"/>
    </row>
    <row r="226" spans="1:1" ht="16" customHeight="1">
      <c r="A226" s="3"/>
    </row>
    <row r="227" spans="1:1" ht="16" customHeight="1">
      <c r="A227" s="3"/>
    </row>
    <row r="228" spans="1:1" ht="16" customHeight="1">
      <c r="A228" s="3"/>
    </row>
    <row r="229" spans="1:1" ht="16" customHeight="1">
      <c r="A229" s="3"/>
    </row>
    <row r="230" spans="1:1" ht="16" customHeight="1">
      <c r="A230" s="3"/>
    </row>
    <row r="231" spans="1:1" ht="16" customHeight="1">
      <c r="A231" s="3"/>
    </row>
    <row r="232" spans="1:1" ht="16" customHeight="1">
      <c r="A232" s="3"/>
    </row>
    <row r="233" spans="1:1" ht="16" customHeight="1">
      <c r="A233" s="3"/>
    </row>
    <row r="234" spans="1:1" ht="16" customHeight="1">
      <c r="A234" s="3"/>
    </row>
    <row r="235" spans="1:1" ht="16" customHeight="1">
      <c r="A235" s="3"/>
    </row>
    <row r="236" spans="1:1" ht="16" customHeight="1">
      <c r="A236" s="3"/>
    </row>
    <row r="237" spans="1:1" ht="16" customHeight="1">
      <c r="A237" s="3"/>
    </row>
    <row r="238" spans="1:1" ht="16" customHeight="1">
      <c r="A238" s="3"/>
    </row>
    <row r="239" spans="1:1" ht="16" customHeight="1">
      <c r="A239" s="3"/>
    </row>
    <row r="240" spans="1:1" ht="16" customHeight="1">
      <c r="A240" s="3"/>
    </row>
    <row r="241" spans="1:1" ht="16" customHeight="1">
      <c r="A241" s="3"/>
    </row>
    <row r="242" spans="1:1" ht="16" customHeight="1">
      <c r="A242" s="3"/>
    </row>
    <row r="243" spans="1:1" ht="16" customHeight="1">
      <c r="A243" s="3"/>
    </row>
    <row r="244" spans="1:1" ht="16" customHeight="1">
      <c r="A244" s="3"/>
    </row>
    <row r="245" spans="1:1" ht="16" customHeight="1">
      <c r="A245" s="3"/>
    </row>
    <row r="246" spans="1:1" ht="16" customHeight="1">
      <c r="A246" s="3"/>
    </row>
    <row r="247" spans="1:1" ht="16" customHeight="1">
      <c r="A247" s="3"/>
    </row>
    <row r="248" spans="1:1" ht="16" customHeight="1">
      <c r="A248" s="3"/>
    </row>
    <row r="249" spans="1:1" ht="16" customHeight="1">
      <c r="A249" s="3"/>
    </row>
    <row r="250" spans="1:1" ht="16" customHeight="1">
      <c r="A250" s="3"/>
    </row>
    <row r="251" spans="1:1" ht="16" customHeight="1">
      <c r="A251" s="3"/>
    </row>
    <row r="252" spans="1:1" ht="16" customHeight="1">
      <c r="A252" s="3"/>
    </row>
    <row r="253" spans="1:1" ht="16" customHeight="1">
      <c r="A253" s="3"/>
    </row>
    <row r="254" spans="1:1" ht="16" customHeight="1">
      <c r="A254" s="3"/>
    </row>
    <row r="255" spans="1:1" ht="16" customHeight="1">
      <c r="A255" s="3"/>
    </row>
    <row r="256" spans="1:1" ht="16" customHeight="1">
      <c r="A256" s="3"/>
    </row>
    <row r="257" spans="1:1" ht="16" customHeight="1">
      <c r="A257" s="3"/>
    </row>
    <row r="258" spans="1:1" ht="16" customHeight="1">
      <c r="A258" s="3"/>
    </row>
    <row r="259" spans="1:1" ht="16" customHeight="1">
      <c r="A259" s="3"/>
    </row>
    <row r="260" spans="1:1" ht="16" customHeight="1">
      <c r="A260" s="3"/>
    </row>
    <row r="261" spans="1:1" ht="16" customHeight="1">
      <c r="A261" s="3"/>
    </row>
    <row r="262" spans="1:1" ht="16" customHeight="1"/>
  </sheetData>
  <sortState ref="A2:C209">
    <sortCondition ref="A1"/>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wideToLong">
                <anchor moveWithCells="1" sizeWithCells="1">
                  <from>
                    <xdr:col>10</xdr:col>
                    <xdr:colOff>584200</xdr:colOff>
                    <xdr:row>0</xdr:row>
                    <xdr:rowOff>177800</xdr:rowOff>
                  </from>
                  <to>
                    <xdr:col>12</xdr:col>
                    <xdr:colOff>393700</xdr:colOff>
                    <xdr:row>2</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5CC8D-00F1-4F43-A7FC-ACB095340223}">
  <sheetPr codeName="Sheet11"/>
  <dimension ref="A1:AA11"/>
  <sheetViews>
    <sheetView workbookViewId="0">
      <selection activeCell="H16" sqref="H16"/>
    </sheetView>
  </sheetViews>
  <sheetFormatPr baseColWidth="10" defaultRowHeight="16"/>
  <sheetData>
    <row r="1" spans="1:27" ht="67" customHeight="1">
      <c r="A1" s="8" t="s">
        <v>39</v>
      </c>
      <c r="B1" s="3" t="s">
        <v>6</v>
      </c>
      <c r="C1" s="3" t="s">
        <v>7</v>
      </c>
      <c r="D1" s="3" t="s">
        <v>8</v>
      </c>
      <c r="E1" s="3" t="s">
        <v>9</v>
      </c>
      <c r="F1" s="3" t="s">
        <v>6</v>
      </c>
      <c r="G1" s="3" t="s">
        <v>11</v>
      </c>
      <c r="H1" s="3" t="s">
        <v>8</v>
      </c>
      <c r="I1" s="3" t="s">
        <v>12</v>
      </c>
      <c r="J1" s="3" t="s">
        <v>13</v>
      </c>
      <c r="K1" s="3" t="s">
        <v>15</v>
      </c>
      <c r="L1" s="3" t="s">
        <v>16</v>
      </c>
      <c r="M1" s="3" t="s">
        <v>17</v>
      </c>
      <c r="N1" s="3" t="s">
        <v>18</v>
      </c>
      <c r="O1" s="3" t="s">
        <v>19</v>
      </c>
      <c r="P1" s="3" t="s">
        <v>20</v>
      </c>
      <c r="Q1" s="3" t="s">
        <v>21</v>
      </c>
      <c r="R1" s="3" t="s">
        <v>22</v>
      </c>
      <c r="S1" s="3" t="s">
        <v>23</v>
      </c>
      <c r="T1" s="3" t="s">
        <v>24</v>
      </c>
      <c r="U1" s="3" t="s">
        <v>25</v>
      </c>
      <c r="V1" s="3" t="s">
        <v>26</v>
      </c>
      <c r="W1" s="3" t="s">
        <v>27</v>
      </c>
      <c r="X1" s="3" t="s">
        <v>29</v>
      </c>
      <c r="Y1" s="3" t="s">
        <v>30</v>
      </c>
      <c r="Z1" s="3" t="s">
        <v>29</v>
      </c>
      <c r="AA1" s="3" t="s">
        <v>30</v>
      </c>
    </row>
    <row r="2" spans="1:27">
      <c r="A2" s="8" t="s">
        <v>49</v>
      </c>
      <c r="B2" s="3" t="s">
        <v>5</v>
      </c>
      <c r="C2" s="3" t="s">
        <v>5</v>
      </c>
      <c r="D2" s="3" t="s">
        <v>5</v>
      </c>
      <c r="E2" s="3" t="s">
        <v>5</v>
      </c>
      <c r="F2" s="3" t="s">
        <v>53</v>
      </c>
      <c r="G2" s="3" t="s">
        <v>53</v>
      </c>
      <c r="H2" s="3" t="s">
        <v>53</v>
      </c>
      <c r="I2" s="3" t="s">
        <v>53</v>
      </c>
      <c r="J2" s="3" t="s">
        <v>13</v>
      </c>
      <c r="K2" s="3" t="s">
        <v>54</v>
      </c>
      <c r="L2" s="3" t="s">
        <v>54</v>
      </c>
      <c r="M2" s="3" t="s">
        <v>54</v>
      </c>
      <c r="N2" s="3" t="s">
        <v>54</v>
      </c>
      <c r="O2" s="3" t="s">
        <v>54</v>
      </c>
      <c r="P2" s="3" t="s">
        <v>54</v>
      </c>
      <c r="Q2" s="3" t="s">
        <v>54</v>
      </c>
      <c r="R2" s="3" t="s">
        <v>54</v>
      </c>
      <c r="S2" s="3" t="s">
        <v>54</v>
      </c>
      <c r="T2" s="3" t="s">
        <v>54</v>
      </c>
      <c r="U2" s="3" t="s">
        <v>55</v>
      </c>
      <c r="V2" s="3" t="s">
        <v>55</v>
      </c>
      <c r="W2" s="3" t="s">
        <v>55</v>
      </c>
      <c r="X2" s="3" t="s">
        <v>50</v>
      </c>
      <c r="Y2" s="3" t="s">
        <v>50</v>
      </c>
      <c r="Z2" s="3" t="s">
        <v>51</v>
      </c>
      <c r="AA2" s="3" t="s">
        <v>51</v>
      </c>
    </row>
    <row r="3" spans="1:27">
      <c r="A3" s="8" t="s">
        <v>52</v>
      </c>
      <c r="B3" s="3">
        <v>1</v>
      </c>
      <c r="C3" s="3">
        <f t="shared" ref="C3:AA3" si="0">B3+1</f>
        <v>2</v>
      </c>
      <c r="D3" s="3">
        <f t="shared" si="0"/>
        <v>3</v>
      </c>
      <c r="E3" s="3">
        <f t="shared" si="0"/>
        <v>4</v>
      </c>
      <c r="F3" s="3">
        <f t="shared" si="0"/>
        <v>5</v>
      </c>
      <c r="G3" s="3">
        <f t="shared" si="0"/>
        <v>6</v>
      </c>
      <c r="H3" s="3">
        <f t="shared" si="0"/>
        <v>7</v>
      </c>
      <c r="I3" s="3">
        <f t="shared" si="0"/>
        <v>8</v>
      </c>
      <c r="J3" s="3">
        <f t="shared" si="0"/>
        <v>9</v>
      </c>
      <c r="K3" s="3">
        <f t="shared" si="0"/>
        <v>10</v>
      </c>
      <c r="L3" s="3">
        <f t="shared" si="0"/>
        <v>11</v>
      </c>
      <c r="M3" s="3">
        <f t="shared" si="0"/>
        <v>12</v>
      </c>
      <c r="N3" s="3">
        <f t="shared" si="0"/>
        <v>13</v>
      </c>
      <c r="O3" s="3">
        <f t="shared" si="0"/>
        <v>14</v>
      </c>
      <c r="P3" s="3">
        <f t="shared" si="0"/>
        <v>15</v>
      </c>
      <c r="Q3" s="3">
        <f t="shared" si="0"/>
        <v>16</v>
      </c>
      <c r="R3" s="3">
        <f t="shared" si="0"/>
        <v>17</v>
      </c>
      <c r="S3" s="3">
        <f t="shared" si="0"/>
        <v>18</v>
      </c>
      <c r="T3" s="3">
        <f t="shared" si="0"/>
        <v>19</v>
      </c>
      <c r="U3" s="3">
        <f t="shared" si="0"/>
        <v>20</v>
      </c>
      <c r="V3" s="3">
        <f t="shared" si="0"/>
        <v>21</v>
      </c>
      <c r="W3" s="3">
        <f t="shared" si="0"/>
        <v>22</v>
      </c>
      <c r="X3" s="3">
        <f t="shared" si="0"/>
        <v>23</v>
      </c>
      <c r="Y3" s="3">
        <f t="shared" si="0"/>
        <v>24</v>
      </c>
      <c r="Z3" s="3">
        <f t="shared" si="0"/>
        <v>25</v>
      </c>
      <c r="AA3" s="3">
        <f t="shared" si="0"/>
        <v>26</v>
      </c>
    </row>
    <row r="4" spans="1:27" ht="32">
      <c r="A4" s="1" t="s">
        <v>2</v>
      </c>
      <c r="B4" s="9">
        <v>883461</v>
      </c>
      <c r="C4" s="9">
        <v>18514983</v>
      </c>
      <c r="D4" s="9">
        <v>1391041</v>
      </c>
      <c r="E4" s="9">
        <v>21461268</v>
      </c>
      <c r="F4" s="9">
        <v>488425</v>
      </c>
      <c r="G4" s="9">
        <v>14173997</v>
      </c>
      <c r="H4" s="9">
        <v>1880354</v>
      </c>
      <c r="I4" s="9">
        <v>17419247</v>
      </c>
      <c r="J4" s="9">
        <v>4042021</v>
      </c>
      <c r="K4" s="9">
        <v>1460370</v>
      </c>
      <c r="L4" s="9">
        <v>2834491</v>
      </c>
      <c r="M4" s="9">
        <v>135233</v>
      </c>
      <c r="N4" s="9">
        <v>4430094</v>
      </c>
      <c r="O4" s="9">
        <v>-388073</v>
      </c>
      <c r="P4" s="9">
        <v>24533</v>
      </c>
      <c r="Q4" s="9">
        <v>-663071</v>
      </c>
      <c r="R4" s="9">
        <v>21866</v>
      </c>
      <c r="S4" s="9">
        <v>-1004745</v>
      </c>
      <c r="T4" s="9">
        <v>57837</v>
      </c>
      <c r="U4" s="9">
        <v>-1062582</v>
      </c>
      <c r="V4" s="9">
        <v>-86491</v>
      </c>
      <c r="W4" s="9">
        <v>-976091</v>
      </c>
      <c r="X4" s="9">
        <v>-5.72</v>
      </c>
      <c r="Y4" s="9">
        <v>-5.72</v>
      </c>
      <c r="Z4" s="9">
        <v>170525</v>
      </c>
      <c r="AA4" s="9">
        <v>170525</v>
      </c>
    </row>
    <row r="5" spans="1:27" ht="32">
      <c r="A5" s="1" t="s">
        <v>3</v>
      </c>
      <c r="B5" s="9">
        <v>1106548</v>
      </c>
      <c r="C5" s="9">
        <v>9641300</v>
      </c>
      <c r="D5" s="9">
        <v>1001185</v>
      </c>
      <c r="E5" s="9">
        <v>11758751</v>
      </c>
      <c r="F5" s="9">
        <v>708224</v>
      </c>
      <c r="G5" s="9">
        <v>7432704</v>
      </c>
      <c r="H5" s="9">
        <v>1229022</v>
      </c>
      <c r="I5" s="9">
        <v>9536264</v>
      </c>
      <c r="J5" s="9">
        <v>2222487</v>
      </c>
      <c r="K5" s="9">
        <v>1378073</v>
      </c>
      <c r="L5" s="9">
        <v>2476500</v>
      </c>
      <c r="M5" s="9">
        <v>0</v>
      </c>
      <c r="N5" s="9">
        <v>3854573</v>
      </c>
      <c r="O5" s="9">
        <v>-1632086</v>
      </c>
      <c r="P5" s="9">
        <v>19686</v>
      </c>
      <c r="Q5" s="9">
        <v>-471259</v>
      </c>
      <c r="R5" s="9">
        <v>-125373</v>
      </c>
      <c r="S5" s="9">
        <v>-2209032</v>
      </c>
      <c r="T5" s="9">
        <v>31546</v>
      </c>
      <c r="U5" s="9">
        <v>-2240578</v>
      </c>
      <c r="V5" s="9">
        <v>-279178</v>
      </c>
      <c r="W5" s="9">
        <v>-1961400</v>
      </c>
      <c r="X5" s="9">
        <v>-11.83</v>
      </c>
      <c r="Y5" s="9">
        <v>-11.83</v>
      </c>
      <c r="Z5" s="9">
        <v>165758</v>
      </c>
      <c r="AA5" s="9">
        <v>165758</v>
      </c>
    </row>
    <row r="6" spans="1:27" ht="32">
      <c r="A6" s="1" t="s">
        <v>4</v>
      </c>
      <c r="B6" s="9">
        <v>761759</v>
      </c>
      <c r="C6" s="9">
        <v>6350766</v>
      </c>
      <c r="D6" s="9">
        <v>467972</v>
      </c>
      <c r="E6" s="9">
        <v>7000132</v>
      </c>
      <c r="F6" s="9">
        <v>481994</v>
      </c>
      <c r="G6" s="9">
        <v>4750081</v>
      </c>
      <c r="H6" s="9">
        <v>472462</v>
      </c>
      <c r="I6" s="9">
        <v>5400875</v>
      </c>
      <c r="J6" s="9">
        <v>1599257</v>
      </c>
      <c r="K6" s="9">
        <v>834408</v>
      </c>
      <c r="L6" s="9">
        <v>1432189</v>
      </c>
      <c r="M6" s="9">
        <v>0</v>
      </c>
      <c r="N6" s="9">
        <v>2266597</v>
      </c>
      <c r="O6" s="9">
        <v>-667340</v>
      </c>
      <c r="P6" s="9">
        <v>8530</v>
      </c>
      <c r="Q6" s="9">
        <v>-198810</v>
      </c>
      <c r="R6" s="9">
        <v>111272</v>
      </c>
      <c r="S6" s="9">
        <v>-746348</v>
      </c>
      <c r="T6" s="9">
        <v>26698</v>
      </c>
      <c r="U6" s="9">
        <v>-773046</v>
      </c>
      <c r="V6" s="9">
        <v>-98132</v>
      </c>
      <c r="W6" s="9">
        <v>-674914</v>
      </c>
      <c r="X6" s="9">
        <v>-4.68</v>
      </c>
      <c r="Y6" s="9">
        <v>-4.68</v>
      </c>
      <c r="Z6" s="9">
        <v>144212</v>
      </c>
      <c r="AA6" s="9">
        <v>144212</v>
      </c>
    </row>
    <row r="7" spans="1:27">
      <c r="A7" t="s">
        <v>34</v>
      </c>
      <c r="B7" s="10">
        <v>309386</v>
      </c>
      <c r="C7" s="10">
        <v>3740973</v>
      </c>
      <c r="D7" s="10">
        <v>290575</v>
      </c>
      <c r="E7" s="10">
        <v>4046025</v>
      </c>
      <c r="F7" s="10">
        <v>183376</v>
      </c>
      <c r="G7" s="10">
        <v>2823302</v>
      </c>
      <c r="H7" s="10">
        <v>286933</v>
      </c>
      <c r="I7" s="10">
        <v>3122522</v>
      </c>
      <c r="J7" s="10">
        <v>923503</v>
      </c>
      <c r="K7" s="10">
        <v>717900</v>
      </c>
      <c r="L7" s="10">
        <v>922232</v>
      </c>
      <c r="M7" s="10">
        <v>0</v>
      </c>
      <c r="N7" s="10">
        <v>1640132</v>
      </c>
      <c r="O7" s="10">
        <v>-716629</v>
      </c>
      <c r="P7" s="10">
        <v>1508</v>
      </c>
      <c r="Q7" s="10">
        <v>-118851</v>
      </c>
      <c r="R7" s="10">
        <v>-41652</v>
      </c>
      <c r="S7" s="10">
        <v>-875624</v>
      </c>
      <c r="T7" s="10">
        <v>13039</v>
      </c>
      <c r="U7" s="10">
        <v>-888663</v>
      </c>
      <c r="V7" s="10">
        <v>0</v>
      </c>
      <c r="W7" s="10">
        <v>-888663</v>
      </c>
      <c r="X7" s="10">
        <v>-6.93</v>
      </c>
      <c r="Y7" s="10">
        <v>-6.93</v>
      </c>
      <c r="Z7" s="10">
        <v>128202</v>
      </c>
      <c r="AA7" s="10">
        <v>128202</v>
      </c>
    </row>
    <row r="8" spans="1:27" ht="32">
      <c r="A8" s="1" t="s">
        <v>35</v>
      </c>
      <c r="B8" s="10">
        <v>132564</v>
      </c>
      <c r="C8" s="10">
        <v>3007012</v>
      </c>
      <c r="D8" s="10">
        <v>187136</v>
      </c>
      <c r="E8" s="10">
        <v>3198356</v>
      </c>
      <c r="F8" s="10">
        <v>87405</v>
      </c>
      <c r="G8" s="10">
        <v>2145749</v>
      </c>
      <c r="H8" s="10">
        <v>166931</v>
      </c>
      <c r="I8" s="10">
        <v>2316685</v>
      </c>
      <c r="J8" s="10">
        <v>881671</v>
      </c>
      <c r="K8" s="10">
        <v>464700</v>
      </c>
      <c r="L8" s="10">
        <v>603660</v>
      </c>
      <c r="M8" s="10">
        <v>0</v>
      </c>
      <c r="N8" s="10">
        <v>1068360</v>
      </c>
      <c r="O8" s="10">
        <v>-186689</v>
      </c>
      <c r="P8" s="10">
        <v>1126</v>
      </c>
      <c r="Q8" s="10">
        <v>-100886</v>
      </c>
      <c r="R8" s="10">
        <v>1813</v>
      </c>
      <c r="S8" s="10">
        <v>-284636</v>
      </c>
      <c r="T8" s="10">
        <v>9404</v>
      </c>
      <c r="U8" s="10">
        <v>-294040</v>
      </c>
      <c r="V8" s="10">
        <v>0</v>
      </c>
      <c r="W8" s="10">
        <v>-294040</v>
      </c>
      <c r="X8" s="10">
        <v>-2.36</v>
      </c>
      <c r="Y8" s="10">
        <v>-2.36</v>
      </c>
      <c r="Z8" s="10">
        <v>124539</v>
      </c>
      <c r="AA8" s="10">
        <v>124539</v>
      </c>
    </row>
    <row r="9" spans="1:27" ht="34">
      <c r="A9" s="7" t="s">
        <v>36</v>
      </c>
      <c r="B9" s="10">
        <v>0</v>
      </c>
      <c r="C9" s="10">
        <v>1921877</v>
      </c>
      <c r="D9" s="10">
        <v>0</v>
      </c>
      <c r="E9" s="10">
        <v>2013496</v>
      </c>
      <c r="F9" s="10">
        <v>0</v>
      </c>
      <c r="G9" s="10">
        <v>1483321</v>
      </c>
      <c r="H9" s="10">
        <v>0</v>
      </c>
      <c r="I9" s="10">
        <v>1557234</v>
      </c>
      <c r="J9" s="10">
        <v>456262</v>
      </c>
      <c r="K9" s="10">
        <v>231976</v>
      </c>
      <c r="L9" s="10">
        <v>285569</v>
      </c>
      <c r="M9" s="10">
        <v>0</v>
      </c>
      <c r="N9" s="10">
        <v>517545</v>
      </c>
      <c r="O9" s="10">
        <v>-61283</v>
      </c>
      <c r="P9" s="10">
        <v>189</v>
      </c>
      <c r="Q9" s="10">
        <v>-32934</v>
      </c>
      <c r="R9" s="10">
        <v>22602</v>
      </c>
      <c r="S9" s="10">
        <v>-71426</v>
      </c>
      <c r="T9" s="10">
        <v>2588</v>
      </c>
      <c r="U9" s="10">
        <v>-74014</v>
      </c>
      <c r="V9" s="10">
        <v>0</v>
      </c>
      <c r="W9" s="10">
        <v>-74014</v>
      </c>
      <c r="X9" s="10">
        <v>-0.62</v>
      </c>
      <c r="Y9" s="10">
        <v>-0.62</v>
      </c>
      <c r="Z9" s="10">
        <v>119421</v>
      </c>
      <c r="AA9" s="10">
        <v>119421</v>
      </c>
    </row>
    <row r="10" spans="1:27" ht="34">
      <c r="A10" s="7" t="s">
        <v>37</v>
      </c>
      <c r="B10" s="10">
        <v>0</v>
      </c>
      <c r="C10" s="10">
        <v>0</v>
      </c>
      <c r="D10" s="10">
        <v>0</v>
      </c>
      <c r="E10" s="10">
        <v>413256</v>
      </c>
      <c r="F10" s="10">
        <v>0</v>
      </c>
      <c r="G10" s="10">
        <v>0</v>
      </c>
      <c r="H10" s="10">
        <v>0</v>
      </c>
      <c r="I10" s="10">
        <v>383189</v>
      </c>
      <c r="J10" s="10">
        <v>30067</v>
      </c>
      <c r="K10" s="10">
        <v>273978</v>
      </c>
      <c r="L10" s="10">
        <v>150372</v>
      </c>
      <c r="M10" s="10">
        <v>0</v>
      </c>
      <c r="N10" s="10">
        <v>424350</v>
      </c>
      <c r="O10" s="10">
        <v>-394283</v>
      </c>
      <c r="P10" s="10">
        <v>288</v>
      </c>
      <c r="Q10" s="10">
        <v>-254</v>
      </c>
      <c r="R10" s="10">
        <v>-1828</v>
      </c>
      <c r="S10" s="10">
        <v>-396077</v>
      </c>
      <c r="T10" s="10">
        <v>136</v>
      </c>
      <c r="U10" s="10">
        <v>-396213</v>
      </c>
      <c r="V10" s="10">
        <v>0</v>
      </c>
      <c r="W10" s="10">
        <v>-396213</v>
      </c>
      <c r="X10" s="10">
        <v>-3.69</v>
      </c>
      <c r="Y10" s="10">
        <v>-3.69</v>
      </c>
      <c r="Z10" s="10">
        <v>0</v>
      </c>
      <c r="AA10" s="10">
        <v>0</v>
      </c>
    </row>
    <row r="11" spans="1:27" ht="34">
      <c r="A11" s="7" t="s">
        <v>38</v>
      </c>
      <c r="B11" s="10">
        <v>0</v>
      </c>
      <c r="C11" s="10">
        <v>0</v>
      </c>
      <c r="D11" s="10">
        <v>0</v>
      </c>
      <c r="E11" s="10">
        <v>204242</v>
      </c>
      <c r="F11" s="10">
        <v>0</v>
      </c>
      <c r="G11" s="10">
        <v>0</v>
      </c>
      <c r="H11" s="10">
        <v>0</v>
      </c>
      <c r="I11" s="10">
        <v>142647</v>
      </c>
      <c r="J11" s="10">
        <v>61595</v>
      </c>
      <c r="K11" s="10">
        <v>208981</v>
      </c>
      <c r="L11" s="10">
        <v>104102</v>
      </c>
      <c r="M11" s="10">
        <v>0</v>
      </c>
      <c r="N11" s="10">
        <v>313083</v>
      </c>
      <c r="O11" s="10">
        <v>-251488</v>
      </c>
      <c r="P11" s="10">
        <v>255</v>
      </c>
      <c r="Q11" s="10">
        <v>-43</v>
      </c>
      <c r="R11" s="10">
        <v>-2646</v>
      </c>
      <c r="S11" s="10">
        <v>-253922</v>
      </c>
      <c r="T11" s="10">
        <v>489</v>
      </c>
      <c r="U11" s="10">
        <v>-254411</v>
      </c>
      <c r="V11" s="10">
        <v>0</v>
      </c>
      <c r="W11" s="10">
        <v>-254411</v>
      </c>
      <c r="X11" s="10">
        <v>-2.5299999999999998</v>
      </c>
      <c r="Y11" s="10">
        <v>-2.5299999999999998</v>
      </c>
      <c r="Z11" s="10">
        <v>0</v>
      </c>
      <c r="AA11" s="10">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0F9E6-F57D-6549-ADB6-833AE57E4BD1}">
  <sheetPr codeName="Sheet4"/>
  <dimension ref="A1:N37"/>
  <sheetViews>
    <sheetView workbookViewId="0">
      <selection activeCell="P29" sqref="P29"/>
    </sheetView>
  </sheetViews>
  <sheetFormatPr baseColWidth="10" defaultRowHeight="16"/>
  <cols>
    <col min="1" max="1" width="52.6640625" customWidth="1"/>
    <col min="2" max="3" width="11.5" customWidth="1"/>
    <col min="4" max="4" width="12.5" bestFit="1" customWidth="1"/>
    <col min="5" max="5" width="12" bestFit="1" customWidth="1"/>
  </cols>
  <sheetData>
    <row r="1" spans="1:14" ht="34">
      <c r="A1" s="8" t="s">
        <v>39</v>
      </c>
      <c r="B1" s="8" t="s">
        <v>49</v>
      </c>
      <c r="C1" s="8" t="s">
        <v>52</v>
      </c>
      <c r="D1" s="1" t="s">
        <v>2</v>
      </c>
      <c r="E1" s="1" t="s">
        <v>3</v>
      </c>
      <c r="F1" s="1" t="s">
        <v>4</v>
      </c>
      <c r="G1" t="s">
        <v>34</v>
      </c>
      <c r="H1" s="1" t="s">
        <v>35</v>
      </c>
      <c r="I1" s="7" t="s">
        <v>36</v>
      </c>
      <c r="J1" s="7" t="s">
        <v>37</v>
      </c>
      <c r="K1" s="7" t="s">
        <v>38</v>
      </c>
      <c r="M1" s="7" t="s">
        <v>40</v>
      </c>
      <c r="N1" s="7"/>
    </row>
    <row r="2" spans="1:14">
      <c r="A2" s="3" t="s">
        <v>6</v>
      </c>
      <c r="B2" s="3" t="s">
        <v>5</v>
      </c>
      <c r="C2" s="3">
        <v>1</v>
      </c>
      <c r="D2" s="9">
        <v>883461</v>
      </c>
      <c r="E2" s="9">
        <v>1106548</v>
      </c>
      <c r="F2" s="9">
        <v>761759</v>
      </c>
      <c r="G2" s="10">
        <v>309386</v>
      </c>
      <c r="H2" s="10">
        <v>132564</v>
      </c>
      <c r="I2" s="10">
        <v>0</v>
      </c>
      <c r="J2" s="10">
        <v>0</v>
      </c>
      <c r="K2" s="10">
        <v>0</v>
      </c>
      <c r="M2" t="s">
        <v>41</v>
      </c>
    </row>
    <row r="3" spans="1:14">
      <c r="A3" s="3" t="s">
        <v>7</v>
      </c>
      <c r="B3" s="3" t="s">
        <v>5</v>
      </c>
      <c r="C3" s="3">
        <f>C2+1</f>
        <v>2</v>
      </c>
      <c r="D3" s="9">
        <v>18514983</v>
      </c>
      <c r="E3" s="9">
        <v>9641300</v>
      </c>
      <c r="F3" s="9">
        <v>6350766</v>
      </c>
      <c r="G3" s="10">
        <v>3740973</v>
      </c>
      <c r="H3" s="10">
        <v>3007012</v>
      </c>
      <c r="I3" s="10">
        <v>1921877</v>
      </c>
      <c r="J3" s="10">
        <v>0</v>
      </c>
      <c r="K3" s="10">
        <v>0</v>
      </c>
      <c r="M3" t="s">
        <v>43</v>
      </c>
    </row>
    <row r="4" spans="1:14">
      <c r="A4" s="3" t="s">
        <v>8</v>
      </c>
      <c r="B4" s="3" t="s">
        <v>5</v>
      </c>
      <c r="C4" s="3">
        <f t="shared" ref="C4:C27" si="0">C3+1</f>
        <v>3</v>
      </c>
      <c r="D4" s="9">
        <v>1391041</v>
      </c>
      <c r="E4" s="9">
        <v>1001185</v>
      </c>
      <c r="F4" s="9">
        <v>467972</v>
      </c>
      <c r="G4" s="10">
        <v>290575</v>
      </c>
      <c r="H4" s="10">
        <v>187136</v>
      </c>
      <c r="I4" s="10">
        <v>0</v>
      </c>
      <c r="J4" s="10">
        <v>0</v>
      </c>
      <c r="K4" s="10">
        <v>0</v>
      </c>
      <c r="M4" t="s">
        <v>44</v>
      </c>
    </row>
    <row r="5" spans="1:14">
      <c r="A5" s="3" t="s">
        <v>9</v>
      </c>
      <c r="B5" s="3" t="s">
        <v>5</v>
      </c>
      <c r="C5" s="3">
        <f t="shared" si="0"/>
        <v>4</v>
      </c>
      <c r="D5" s="9">
        <v>21461268</v>
      </c>
      <c r="E5" s="9">
        <v>11758751</v>
      </c>
      <c r="F5" s="9">
        <v>7000132</v>
      </c>
      <c r="G5" s="10">
        <v>4046025</v>
      </c>
      <c r="H5" s="10">
        <v>3198356</v>
      </c>
      <c r="I5" s="10">
        <v>2013496</v>
      </c>
      <c r="J5" s="10">
        <v>413256</v>
      </c>
      <c r="K5" s="10">
        <v>204242</v>
      </c>
      <c r="M5" t="s">
        <v>56</v>
      </c>
    </row>
    <row r="6" spans="1:14">
      <c r="A6" s="3" t="s">
        <v>6</v>
      </c>
      <c r="B6" s="3" t="s">
        <v>53</v>
      </c>
      <c r="C6" s="3">
        <f t="shared" si="0"/>
        <v>5</v>
      </c>
      <c r="D6" s="9">
        <v>488425</v>
      </c>
      <c r="E6" s="9">
        <v>708224</v>
      </c>
      <c r="F6" s="9">
        <v>481994</v>
      </c>
      <c r="G6" s="10">
        <v>183376</v>
      </c>
      <c r="H6" s="10">
        <v>87405</v>
      </c>
      <c r="I6" s="10">
        <v>0</v>
      </c>
      <c r="J6" s="10">
        <v>0</v>
      </c>
      <c r="K6" s="10">
        <v>0</v>
      </c>
      <c r="M6" t="s">
        <v>57</v>
      </c>
    </row>
    <row r="7" spans="1:14">
      <c r="A7" s="3" t="s">
        <v>11</v>
      </c>
      <c r="B7" s="3" t="s">
        <v>53</v>
      </c>
      <c r="C7" s="3">
        <f t="shared" si="0"/>
        <v>6</v>
      </c>
      <c r="D7" s="9">
        <v>14173997</v>
      </c>
      <c r="E7" s="9">
        <v>7432704</v>
      </c>
      <c r="F7" s="9">
        <v>4750081</v>
      </c>
      <c r="G7" s="10">
        <v>2823302</v>
      </c>
      <c r="H7" s="10">
        <v>2145749</v>
      </c>
      <c r="I7" s="10">
        <v>1483321</v>
      </c>
      <c r="J7" s="10">
        <v>0</v>
      </c>
      <c r="K7" s="10">
        <v>0</v>
      </c>
      <c r="M7" t="s">
        <v>42</v>
      </c>
    </row>
    <row r="8" spans="1:14">
      <c r="A8" s="3" t="s">
        <v>8</v>
      </c>
      <c r="B8" s="3" t="s">
        <v>53</v>
      </c>
      <c r="C8" s="3">
        <f t="shared" si="0"/>
        <v>7</v>
      </c>
      <c r="D8" s="9">
        <v>1880354</v>
      </c>
      <c r="E8" s="9">
        <v>1229022</v>
      </c>
      <c r="F8" s="9">
        <v>472462</v>
      </c>
      <c r="G8" s="10">
        <v>286933</v>
      </c>
      <c r="H8" s="10">
        <v>166931</v>
      </c>
      <c r="I8" s="10">
        <v>0</v>
      </c>
      <c r="J8" s="10">
        <v>0</v>
      </c>
      <c r="K8" s="10">
        <v>0</v>
      </c>
      <c r="M8" t="s">
        <v>58</v>
      </c>
    </row>
    <row r="9" spans="1:14">
      <c r="A9" s="3" t="s">
        <v>12</v>
      </c>
      <c r="B9" s="3" t="s">
        <v>53</v>
      </c>
      <c r="C9" s="3">
        <f t="shared" si="0"/>
        <v>8</v>
      </c>
      <c r="D9" s="9">
        <v>17419247</v>
      </c>
      <c r="E9" s="9">
        <v>9536264</v>
      </c>
      <c r="F9" s="9">
        <v>5400875</v>
      </c>
      <c r="G9" s="10">
        <v>3122522</v>
      </c>
      <c r="H9" s="10">
        <v>2316685</v>
      </c>
      <c r="I9" s="10">
        <v>1557234</v>
      </c>
      <c r="J9" s="10">
        <v>383189</v>
      </c>
      <c r="K9" s="10">
        <v>142647</v>
      </c>
      <c r="M9" t="s">
        <v>45</v>
      </c>
    </row>
    <row r="10" spans="1:14">
      <c r="A10" s="3" t="s">
        <v>13</v>
      </c>
      <c r="B10" s="3" t="s">
        <v>13</v>
      </c>
      <c r="C10" s="3">
        <f t="shared" si="0"/>
        <v>9</v>
      </c>
      <c r="D10" s="9">
        <v>4042021</v>
      </c>
      <c r="E10" s="9">
        <v>2222487</v>
      </c>
      <c r="F10" s="9">
        <v>1599257</v>
      </c>
      <c r="G10" s="10">
        <v>923503</v>
      </c>
      <c r="H10" s="10">
        <v>881671</v>
      </c>
      <c r="I10" s="10">
        <v>456262</v>
      </c>
      <c r="J10" s="10">
        <v>30067</v>
      </c>
      <c r="K10" s="10">
        <v>61595</v>
      </c>
    </row>
    <row r="11" spans="1:14">
      <c r="A11" s="3" t="s">
        <v>15</v>
      </c>
      <c r="B11" s="3" t="s">
        <v>54</v>
      </c>
      <c r="C11" s="3">
        <f t="shared" si="0"/>
        <v>10</v>
      </c>
      <c r="D11" s="9">
        <v>1460370</v>
      </c>
      <c r="E11" s="9">
        <v>1378073</v>
      </c>
      <c r="F11" s="9">
        <v>834408</v>
      </c>
      <c r="G11" s="10">
        <v>717900</v>
      </c>
      <c r="H11" s="10">
        <v>464700</v>
      </c>
      <c r="I11" s="10">
        <v>231976</v>
      </c>
      <c r="J11" s="10">
        <v>273978</v>
      </c>
      <c r="K11" s="10">
        <v>208981</v>
      </c>
    </row>
    <row r="12" spans="1:14">
      <c r="A12" s="3" t="s">
        <v>16</v>
      </c>
      <c r="B12" s="3" t="s">
        <v>54</v>
      </c>
      <c r="C12" s="3">
        <f t="shared" si="0"/>
        <v>11</v>
      </c>
      <c r="D12" s="9">
        <v>2834491</v>
      </c>
      <c r="E12" s="9">
        <v>2476500</v>
      </c>
      <c r="F12" s="9">
        <v>1432189</v>
      </c>
      <c r="G12" s="10">
        <v>922232</v>
      </c>
      <c r="H12" s="10">
        <v>603660</v>
      </c>
      <c r="I12" s="10">
        <v>285569</v>
      </c>
      <c r="J12" s="10">
        <v>150372</v>
      </c>
      <c r="K12" s="10">
        <v>104102</v>
      </c>
    </row>
    <row r="13" spans="1:14">
      <c r="A13" s="3" t="s">
        <v>17</v>
      </c>
      <c r="B13" s="3" t="s">
        <v>54</v>
      </c>
      <c r="C13" s="3">
        <f t="shared" si="0"/>
        <v>12</v>
      </c>
      <c r="D13" s="9">
        <v>135233</v>
      </c>
      <c r="E13" s="9">
        <v>0</v>
      </c>
      <c r="F13" s="9">
        <v>0</v>
      </c>
      <c r="G13" s="10">
        <v>0</v>
      </c>
      <c r="H13" s="10">
        <v>0</v>
      </c>
      <c r="I13" s="10">
        <v>0</v>
      </c>
      <c r="J13" s="10">
        <v>0</v>
      </c>
      <c r="K13" s="10">
        <v>0</v>
      </c>
    </row>
    <row r="14" spans="1:14">
      <c r="A14" s="3" t="s">
        <v>18</v>
      </c>
      <c r="B14" s="3" t="s">
        <v>54</v>
      </c>
      <c r="C14" s="3">
        <f t="shared" si="0"/>
        <v>13</v>
      </c>
      <c r="D14" s="9">
        <v>4430094</v>
      </c>
      <c r="E14" s="9">
        <v>3854573</v>
      </c>
      <c r="F14" s="9">
        <v>2266597</v>
      </c>
      <c r="G14" s="10">
        <v>1640132</v>
      </c>
      <c r="H14" s="10">
        <v>1068360</v>
      </c>
      <c r="I14" s="10">
        <v>517545</v>
      </c>
      <c r="J14" s="10">
        <v>424350</v>
      </c>
      <c r="K14" s="10">
        <v>313083</v>
      </c>
    </row>
    <row r="15" spans="1:14">
      <c r="A15" s="3" t="s">
        <v>19</v>
      </c>
      <c r="B15" s="3" t="s">
        <v>54</v>
      </c>
      <c r="C15" s="3">
        <f t="shared" si="0"/>
        <v>14</v>
      </c>
      <c r="D15" s="9">
        <v>-388073</v>
      </c>
      <c r="E15" s="9">
        <v>-1632086</v>
      </c>
      <c r="F15" s="9">
        <v>-667340</v>
      </c>
      <c r="G15" s="10">
        <v>-716629</v>
      </c>
      <c r="H15" s="10">
        <v>-186689</v>
      </c>
      <c r="I15" s="10">
        <v>-61283</v>
      </c>
      <c r="J15" s="10">
        <v>-394283</v>
      </c>
      <c r="K15" s="10">
        <v>-251488</v>
      </c>
    </row>
    <row r="16" spans="1:14">
      <c r="A16" s="3" t="s">
        <v>20</v>
      </c>
      <c r="B16" s="3" t="s">
        <v>54</v>
      </c>
      <c r="C16" s="3">
        <f t="shared" si="0"/>
        <v>15</v>
      </c>
      <c r="D16" s="9">
        <v>24533</v>
      </c>
      <c r="E16" s="9">
        <v>19686</v>
      </c>
      <c r="F16" s="9">
        <v>8530</v>
      </c>
      <c r="G16" s="10">
        <v>1508</v>
      </c>
      <c r="H16" s="10">
        <v>1126</v>
      </c>
      <c r="I16" s="10">
        <v>189</v>
      </c>
      <c r="J16" s="10">
        <v>288</v>
      </c>
      <c r="K16" s="10">
        <v>255</v>
      </c>
    </row>
    <row r="17" spans="1:11">
      <c r="A17" s="3" t="s">
        <v>21</v>
      </c>
      <c r="B17" s="3" t="s">
        <v>54</v>
      </c>
      <c r="C17" s="3">
        <f t="shared" si="0"/>
        <v>16</v>
      </c>
      <c r="D17" s="9">
        <v>-663071</v>
      </c>
      <c r="E17" s="9">
        <v>-471259</v>
      </c>
      <c r="F17" s="9">
        <v>-198810</v>
      </c>
      <c r="G17" s="10">
        <v>-118851</v>
      </c>
      <c r="H17" s="10">
        <v>-100886</v>
      </c>
      <c r="I17" s="10">
        <v>-32934</v>
      </c>
      <c r="J17" s="10">
        <v>-254</v>
      </c>
      <c r="K17" s="10">
        <v>-43</v>
      </c>
    </row>
    <row r="18" spans="1:11">
      <c r="A18" s="3" t="s">
        <v>22</v>
      </c>
      <c r="B18" s="3" t="s">
        <v>54</v>
      </c>
      <c r="C18" s="3">
        <f t="shared" si="0"/>
        <v>17</v>
      </c>
      <c r="D18" s="9">
        <v>21866</v>
      </c>
      <c r="E18" s="9">
        <v>-125373</v>
      </c>
      <c r="F18" s="9">
        <v>111272</v>
      </c>
      <c r="G18" s="10">
        <v>-41652</v>
      </c>
      <c r="H18" s="10">
        <v>1813</v>
      </c>
      <c r="I18" s="10">
        <v>22602</v>
      </c>
      <c r="J18" s="10">
        <v>-1828</v>
      </c>
      <c r="K18" s="10">
        <v>-2646</v>
      </c>
    </row>
    <row r="19" spans="1:11">
      <c r="A19" s="3" t="s">
        <v>23</v>
      </c>
      <c r="B19" s="3" t="s">
        <v>54</v>
      </c>
      <c r="C19" s="3">
        <f t="shared" si="0"/>
        <v>18</v>
      </c>
      <c r="D19" s="9">
        <v>-1004745</v>
      </c>
      <c r="E19" s="9">
        <v>-2209032</v>
      </c>
      <c r="F19" s="9">
        <v>-746348</v>
      </c>
      <c r="G19" s="10">
        <v>-875624</v>
      </c>
      <c r="H19" s="10">
        <v>-284636</v>
      </c>
      <c r="I19" s="10">
        <v>-71426</v>
      </c>
      <c r="J19" s="10">
        <v>-396077</v>
      </c>
      <c r="K19" s="10">
        <v>-253922</v>
      </c>
    </row>
    <row r="20" spans="1:11">
      <c r="A20" s="3" t="s">
        <v>24</v>
      </c>
      <c r="B20" s="3" t="s">
        <v>54</v>
      </c>
      <c r="C20" s="3">
        <f t="shared" si="0"/>
        <v>19</v>
      </c>
      <c r="D20" s="9">
        <v>57837</v>
      </c>
      <c r="E20" s="9">
        <v>31546</v>
      </c>
      <c r="F20" s="9">
        <v>26698</v>
      </c>
      <c r="G20" s="10">
        <v>13039</v>
      </c>
      <c r="H20" s="10">
        <v>9404</v>
      </c>
      <c r="I20" s="10">
        <v>2588</v>
      </c>
      <c r="J20" s="10">
        <v>136</v>
      </c>
      <c r="K20" s="10">
        <v>489</v>
      </c>
    </row>
    <row r="21" spans="1:11">
      <c r="A21" s="3" t="s">
        <v>25</v>
      </c>
      <c r="B21" s="3" t="s">
        <v>55</v>
      </c>
      <c r="C21" s="3">
        <f t="shared" si="0"/>
        <v>20</v>
      </c>
      <c r="D21" s="9">
        <v>-1062582</v>
      </c>
      <c r="E21" s="9">
        <v>-2240578</v>
      </c>
      <c r="F21" s="9">
        <v>-773046</v>
      </c>
      <c r="G21" s="10">
        <v>-888663</v>
      </c>
      <c r="H21" s="10">
        <v>-294040</v>
      </c>
      <c r="I21" s="10">
        <v>-74014</v>
      </c>
      <c r="J21" s="10">
        <v>-396213</v>
      </c>
      <c r="K21" s="10">
        <v>-254411</v>
      </c>
    </row>
    <row r="22" spans="1:11" ht="32">
      <c r="A22" s="3" t="s">
        <v>26</v>
      </c>
      <c r="B22" s="3" t="s">
        <v>55</v>
      </c>
      <c r="C22" s="3">
        <f t="shared" si="0"/>
        <v>21</v>
      </c>
      <c r="D22" s="9">
        <v>-86491</v>
      </c>
      <c r="E22" s="9">
        <v>-279178</v>
      </c>
      <c r="F22" s="9">
        <v>-98132</v>
      </c>
      <c r="G22" s="10">
        <v>0</v>
      </c>
      <c r="H22" s="10">
        <v>0</v>
      </c>
      <c r="I22" s="10">
        <v>0</v>
      </c>
      <c r="J22" s="10">
        <v>0</v>
      </c>
      <c r="K22" s="10">
        <v>0</v>
      </c>
    </row>
    <row r="23" spans="1:11">
      <c r="A23" s="3" t="s">
        <v>27</v>
      </c>
      <c r="B23" s="3" t="s">
        <v>55</v>
      </c>
      <c r="C23" s="3">
        <f t="shared" si="0"/>
        <v>22</v>
      </c>
      <c r="D23" s="9">
        <v>-976091</v>
      </c>
      <c r="E23" s="9">
        <v>-1961400</v>
      </c>
      <c r="F23" s="9">
        <v>-674914</v>
      </c>
      <c r="G23" s="10">
        <v>-888663</v>
      </c>
      <c r="H23" s="10">
        <v>-294040</v>
      </c>
      <c r="I23" s="10">
        <v>-74014</v>
      </c>
      <c r="J23" s="10">
        <v>-396213</v>
      </c>
      <c r="K23" s="10">
        <v>-254411</v>
      </c>
    </row>
    <row r="24" spans="1:11">
      <c r="A24" s="3" t="s">
        <v>29</v>
      </c>
      <c r="B24" s="3" t="s">
        <v>50</v>
      </c>
      <c r="C24" s="3">
        <f t="shared" si="0"/>
        <v>23</v>
      </c>
      <c r="D24" s="9">
        <v>-5.72</v>
      </c>
      <c r="E24" s="9">
        <v>-11.83</v>
      </c>
      <c r="F24" s="9">
        <v>-4.68</v>
      </c>
      <c r="G24" s="10">
        <v>-6.93</v>
      </c>
      <c r="H24" s="10">
        <v>-2.36</v>
      </c>
      <c r="I24" s="10">
        <v>-0.62</v>
      </c>
      <c r="J24" s="10">
        <v>-3.69</v>
      </c>
      <c r="K24" s="10">
        <v>-2.5299999999999998</v>
      </c>
    </row>
    <row r="25" spans="1:11">
      <c r="A25" s="3" t="s">
        <v>30</v>
      </c>
      <c r="B25" s="3" t="s">
        <v>50</v>
      </c>
      <c r="C25" s="3">
        <f t="shared" si="0"/>
        <v>24</v>
      </c>
      <c r="D25" s="9">
        <v>-5.72</v>
      </c>
      <c r="E25" s="9">
        <v>-11.83</v>
      </c>
      <c r="F25" s="9">
        <v>-4.68</v>
      </c>
      <c r="G25" s="10">
        <v>-6.93</v>
      </c>
      <c r="H25" s="10">
        <v>-2.36</v>
      </c>
      <c r="I25" s="10">
        <v>-0.62</v>
      </c>
      <c r="J25" s="10">
        <v>-3.69</v>
      </c>
      <c r="K25" s="10">
        <v>-2.5299999999999998</v>
      </c>
    </row>
    <row r="26" spans="1:11">
      <c r="A26" s="3" t="s">
        <v>29</v>
      </c>
      <c r="B26" s="3" t="s">
        <v>51</v>
      </c>
      <c r="C26" s="3">
        <f t="shared" si="0"/>
        <v>25</v>
      </c>
      <c r="D26" s="9">
        <v>170525</v>
      </c>
      <c r="E26" s="9">
        <v>165758</v>
      </c>
      <c r="F26" s="9">
        <v>144212</v>
      </c>
      <c r="G26" s="10">
        <v>128202</v>
      </c>
      <c r="H26" s="10">
        <v>124539</v>
      </c>
      <c r="I26" s="10">
        <v>119421</v>
      </c>
      <c r="J26" s="10">
        <v>0</v>
      </c>
      <c r="K26" s="10">
        <v>0</v>
      </c>
    </row>
    <row r="27" spans="1:11">
      <c r="A27" s="3" t="s">
        <v>30</v>
      </c>
      <c r="B27" s="3" t="s">
        <v>51</v>
      </c>
      <c r="C27" s="3">
        <f t="shared" si="0"/>
        <v>26</v>
      </c>
      <c r="D27" s="9">
        <v>170525</v>
      </c>
      <c r="E27" s="9">
        <v>165758</v>
      </c>
      <c r="F27" s="9">
        <v>144212</v>
      </c>
      <c r="G27" s="10">
        <v>128202</v>
      </c>
      <c r="H27" s="10">
        <v>124539</v>
      </c>
      <c r="I27" s="10">
        <v>119421</v>
      </c>
      <c r="J27" s="10">
        <v>0</v>
      </c>
      <c r="K27" s="10">
        <v>0</v>
      </c>
    </row>
    <row r="28" spans="1:11">
      <c r="A28" s="3"/>
      <c r="B28" s="3"/>
      <c r="C28" s="3"/>
    </row>
    <row r="29" spans="1:11">
      <c r="A29" s="2"/>
      <c r="B29" s="2"/>
      <c r="C29" s="2"/>
    </row>
    <row r="30" spans="1:11">
      <c r="A30" s="3"/>
      <c r="B30" s="3"/>
      <c r="C30" s="3"/>
      <c r="D30" s="4"/>
      <c r="E30" s="4"/>
      <c r="F30" s="4"/>
    </row>
    <row r="31" spans="1:11">
      <c r="A31" s="2"/>
      <c r="B31" s="2"/>
      <c r="C31" s="2"/>
    </row>
    <row r="32" spans="1:11">
      <c r="A32" s="3"/>
      <c r="B32" s="3"/>
      <c r="C32" s="3"/>
      <c r="D32" s="5"/>
      <c r="E32" s="5"/>
      <c r="F32" s="5"/>
    </row>
    <row r="33" spans="1:6">
      <c r="A33" s="3"/>
      <c r="B33" s="3"/>
      <c r="C33" s="3"/>
    </row>
    <row r="34" spans="1:6">
      <c r="A34" s="2"/>
      <c r="B34" s="2"/>
      <c r="C34" s="2"/>
    </row>
    <row r="35" spans="1:6">
      <c r="A35" s="3"/>
      <c r="B35" s="3"/>
      <c r="C35" s="3"/>
      <c r="D35" s="5"/>
      <c r="E35" s="5"/>
      <c r="F35" s="5"/>
    </row>
    <row r="36" spans="1:6">
      <c r="A36" s="2"/>
      <c r="B36" s="2"/>
      <c r="C36" s="2"/>
    </row>
    <row r="37" spans="1:6">
      <c r="A37" s="3"/>
      <c r="B37" s="3"/>
      <c r="C37" s="3"/>
      <c r="D37" s="4"/>
      <c r="E37" s="4"/>
      <c r="F37"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968BE-D00E-774D-B2A9-46EAF292F4B7}">
  <sheetPr codeName="Sheet1"/>
  <dimension ref="A1:L45"/>
  <sheetViews>
    <sheetView workbookViewId="0">
      <selection activeCell="L1" sqref="L1:L5"/>
    </sheetView>
  </sheetViews>
  <sheetFormatPr baseColWidth="10" defaultRowHeight="16"/>
  <cols>
    <col min="1" max="1" width="52.6640625" customWidth="1"/>
    <col min="2" max="2" width="12.5" bestFit="1" customWidth="1"/>
    <col min="3" max="3" width="12" bestFit="1" customWidth="1"/>
  </cols>
  <sheetData>
    <row r="1" spans="1:12">
      <c r="A1" s="16" t="s">
        <v>0</v>
      </c>
      <c r="B1" s="18" t="s">
        <v>1</v>
      </c>
      <c r="C1" s="17"/>
      <c r="D1" s="17"/>
    </row>
    <row r="2" spans="1:12" ht="34">
      <c r="A2" s="17"/>
      <c r="B2" s="1" t="s">
        <v>2</v>
      </c>
      <c r="C2" s="1" t="s">
        <v>3</v>
      </c>
      <c r="D2" s="1" t="s">
        <v>4</v>
      </c>
      <c r="E2" t="s">
        <v>34</v>
      </c>
      <c r="F2" s="1" t="s">
        <v>35</v>
      </c>
      <c r="G2" s="7" t="s">
        <v>36</v>
      </c>
      <c r="H2" s="7" t="s">
        <v>37</v>
      </c>
      <c r="I2" s="7" t="s">
        <v>38</v>
      </c>
      <c r="L2" s="7"/>
    </row>
    <row r="3" spans="1:12" s="13" customFormat="1">
      <c r="B3" s="14"/>
      <c r="C3" s="14"/>
      <c r="D3" s="14"/>
      <c r="F3" s="14"/>
      <c r="G3" s="7"/>
      <c r="H3" s="7"/>
      <c r="I3" s="7"/>
      <c r="L3" s="7"/>
    </row>
    <row r="4" spans="1:12">
      <c r="A4" s="2" t="s">
        <v>5</v>
      </c>
    </row>
    <row r="5" spans="1:12">
      <c r="A5" s="3" t="s">
        <v>5</v>
      </c>
      <c r="B5" s="4">
        <v>21461268</v>
      </c>
    </row>
    <row r="6" spans="1:12">
      <c r="A6" s="3" t="s">
        <v>6</v>
      </c>
      <c r="B6" s="5">
        <v>883461</v>
      </c>
      <c r="C6" s="4">
        <v>1106548</v>
      </c>
      <c r="D6" s="4">
        <v>761759</v>
      </c>
      <c r="E6">
        <v>309386</v>
      </c>
      <c r="F6">
        <v>132564</v>
      </c>
    </row>
    <row r="7" spans="1:12">
      <c r="A7" s="3" t="s">
        <v>7</v>
      </c>
      <c r="B7" s="5">
        <v>18514983</v>
      </c>
      <c r="C7" s="5">
        <v>9641300</v>
      </c>
      <c r="D7" s="5">
        <v>6350766</v>
      </c>
      <c r="E7">
        <v>3740973</v>
      </c>
      <c r="F7">
        <v>3007012</v>
      </c>
      <c r="G7">
        <v>1921877</v>
      </c>
    </row>
    <row r="8" spans="1:12">
      <c r="A8" s="3" t="s">
        <v>8</v>
      </c>
      <c r="B8" s="5">
        <v>1391041</v>
      </c>
      <c r="C8" s="5">
        <v>1001185</v>
      </c>
      <c r="D8" s="5">
        <v>467972</v>
      </c>
      <c r="E8">
        <v>290575</v>
      </c>
      <c r="F8">
        <v>187136</v>
      </c>
    </row>
    <row r="9" spans="1:12">
      <c r="A9" s="3" t="s">
        <v>9</v>
      </c>
      <c r="B9" s="5">
        <v>21461268</v>
      </c>
      <c r="C9" s="5">
        <v>11758751</v>
      </c>
      <c r="D9" s="5">
        <v>7000132</v>
      </c>
      <c r="E9">
        <v>4046025</v>
      </c>
      <c r="F9">
        <v>3198356</v>
      </c>
      <c r="G9">
        <v>2013496</v>
      </c>
      <c r="H9">
        <v>413256</v>
      </c>
      <c r="I9">
        <v>204242</v>
      </c>
    </row>
    <row r="10" spans="1:12">
      <c r="A10" s="2" t="s">
        <v>10</v>
      </c>
    </row>
    <row r="11" spans="1:12">
      <c r="A11" s="3" t="s">
        <v>6</v>
      </c>
      <c r="B11" s="5">
        <v>488425</v>
      </c>
      <c r="C11" s="5">
        <v>708224</v>
      </c>
      <c r="D11" s="5">
        <v>481994</v>
      </c>
      <c r="E11">
        <v>183376</v>
      </c>
      <c r="F11">
        <v>87405</v>
      </c>
    </row>
    <row r="12" spans="1:12">
      <c r="A12" s="3" t="s">
        <v>11</v>
      </c>
      <c r="B12" s="5">
        <v>14173997</v>
      </c>
      <c r="C12" s="5">
        <v>7432704</v>
      </c>
      <c r="D12" s="5">
        <v>4750081</v>
      </c>
      <c r="E12">
        <v>2823302</v>
      </c>
      <c r="F12">
        <v>2145749</v>
      </c>
      <c r="G12">
        <v>1483321</v>
      </c>
    </row>
    <row r="13" spans="1:12">
      <c r="A13" s="3" t="s">
        <v>8</v>
      </c>
      <c r="B13" s="5">
        <v>1880354</v>
      </c>
      <c r="C13" s="5">
        <v>1229022</v>
      </c>
      <c r="D13" s="5">
        <v>472462</v>
      </c>
      <c r="E13">
        <v>286933</v>
      </c>
      <c r="F13">
        <v>166931</v>
      </c>
      <c r="G13" t="e">
        <v>#N/A</v>
      </c>
    </row>
    <row r="14" spans="1:12">
      <c r="A14" s="3" t="s">
        <v>12</v>
      </c>
      <c r="B14" s="5">
        <v>17419247</v>
      </c>
      <c r="C14" s="5">
        <v>9536264</v>
      </c>
      <c r="D14" s="5">
        <v>5400875</v>
      </c>
      <c r="E14">
        <v>3122522</v>
      </c>
      <c r="F14">
        <v>2316685</v>
      </c>
      <c r="G14">
        <v>1557234</v>
      </c>
      <c r="H14">
        <v>383189</v>
      </c>
      <c r="I14">
        <v>142647</v>
      </c>
    </row>
    <row r="15" spans="1:12">
      <c r="A15" s="3" t="s">
        <v>13</v>
      </c>
      <c r="B15" s="5">
        <v>4042021</v>
      </c>
      <c r="C15" s="5">
        <v>2222487</v>
      </c>
      <c r="D15" s="5">
        <v>1599257</v>
      </c>
      <c r="E15">
        <v>923503</v>
      </c>
      <c r="F15">
        <v>881671</v>
      </c>
      <c r="G15">
        <v>456262</v>
      </c>
      <c r="H15">
        <v>30067</v>
      </c>
      <c r="I15">
        <v>61595</v>
      </c>
    </row>
    <row r="16" spans="1:12">
      <c r="A16" s="2" t="s">
        <v>14</v>
      </c>
      <c r="E16" t="e">
        <v>#N/A</v>
      </c>
      <c r="F16" t="e">
        <v>#N/A</v>
      </c>
      <c r="G16" t="e">
        <v>#N/A</v>
      </c>
      <c r="H16" t="e">
        <v>#N/A</v>
      </c>
      <c r="I16" t="e">
        <v>#N/A</v>
      </c>
    </row>
    <row r="17" spans="1:9">
      <c r="A17" s="3" t="s">
        <v>15</v>
      </c>
      <c r="B17" s="5">
        <v>1460370</v>
      </c>
      <c r="C17" s="5">
        <v>1378073</v>
      </c>
      <c r="D17" s="5">
        <v>834408</v>
      </c>
      <c r="E17">
        <v>717900</v>
      </c>
      <c r="F17">
        <v>464700</v>
      </c>
      <c r="G17">
        <v>231976</v>
      </c>
      <c r="H17">
        <v>273978</v>
      </c>
      <c r="I17">
        <v>208981</v>
      </c>
    </row>
    <row r="18" spans="1:9">
      <c r="A18" s="3" t="s">
        <v>16</v>
      </c>
      <c r="B18" s="5">
        <v>2834491</v>
      </c>
      <c r="C18" s="5">
        <v>2476500</v>
      </c>
      <c r="D18" s="5">
        <v>1432189</v>
      </c>
      <c r="E18">
        <v>922232</v>
      </c>
      <c r="F18">
        <v>603660</v>
      </c>
      <c r="G18">
        <v>285569</v>
      </c>
      <c r="H18">
        <v>150372</v>
      </c>
      <c r="I18">
        <v>104102</v>
      </c>
    </row>
    <row r="19" spans="1:9">
      <c r="A19" s="3" t="s">
        <v>17</v>
      </c>
      <c r="B19" s="5">
        <v>135233</v>
      </c>
      <c r="E19" t="e">
        <v>#N/A</v>
      </c>
      <c r="F19" t="e">
        <v>#N/A</v>
      </c>
      <c r="G19" t="e">
        <v>#N/A</v>
      </c>
      <c r="H19" t="e">
        <v>#N/A</v>
      </c>
      <c r="I19" t="e">
        <v>#N/A</v>
      </c>
    </row>
    <row r="20" spans="1:9">
      <c r="A20" s="3" t="s">
        <v>18</v>
      </c>
      <c r="B20" s="5">
        <v>4430094</v>
      </c>
      <c r="C20" s="5">
        <v>3854573</v>
      </c>
      <c r="D20" s="5">
        <v>2266597</v>
      </c>
      <c r="E20">
        <v>1640132</v>
      </c>
      <c r="F20">
        <v>1068360</v>
      </c>
      <c r="G20">
        <v>517545</v>
      </c>
      <c r="H20">
        <v>424350</v>
      </c>
      <c r="I20">
        <v>313083</v>
      </c>
    </row>
    <row r="21" spans="1:9">
      <c r="A21" s="3" t="s">
        <v>19</v>
      </c>
      <c r="B21" s="5">
        <v>-388073</v>
      </c>
      <c r="C21" s="5">
        <v>-1632086</v>
      </c>
      <c r="D21" s="5">
        <v>-667340</v>
      </c>
      <c r="E21">
        <v>-716629</v>
      </c>
      <c r="F21">
        <v>-186689</v>
      </c>
      <c r="G21">
        <v>-61283</v>
      </c>
      <c r="H21">
        <v>-394283</v>
      </c>
      <c r="I21">
        <v>-251488</v>
      </c>
    </row>
    <row r="22" spans="1:9">
      <c r="A22" s="3" t="s">
        <v>20</v>
      </c>
      <c r="B22" s="5">
        <v>24533</v>
      </c>
      <c r="C22" s="5">
        <v>19686</v>
      </c>
      <c r="D22" s="5">
        <v>8530</v>
      </c>
      <c r="E22">
        <v>1508</v>
      </c>
      <c r="F22">
        <v>1126</v>
      </c>
      <c r="G22">
        <v>189</v>
      </c>
      <c r="H22">
        <v>288</v>
      </c>
      <c r="I22">
        <v>255</v>
      </c>
    </row>
    <row r="23" spans="1:9">
      <c r="A23" s="3" t="s">
        <v>21</v>
      </c>
      <c r="B23" s="5">
        <v>-663071</v>
      </c>
      <c r="C23" s="5">
        <v>-471259</v>
      </c>
      <c r="D23" s="5">
        <v>-198810</v>
      </c>
      <c r="E23">
        <v>-118851</v>
      </c>
      <c r="F23">
        <v>-100886</v>
      </c>
      <c r="G23">
        <v>-32934</v>
      </c>
      <c r="H23">
        <v>-254</v>
      </c>
      <c r="I23">
        <v>-43</v>
      </c>
    </row>
    <row r="24" spans="1:9">
      <c r="A24" s="3" t="s">
        <v>22</v>
      </c>
      <c r="B24" s="5">
        <v>21866</v>
      </c>
      <c r="C24" s="5">
        <v>-125373</v>
      </c>
      <c r="D24" s="5">
        <v>111272</v>
      </c>
      <c r="E24">
        <v>-41652</v>
      </c>
      <c r="F24">
        <v>1813</v>
      </c>
      <c r="G24">
        <v>22602</v>
      </c>
      <c r="H24">
        <v>-1828</v>
      </c>
      <c r="I24">
        <v>-2646</v>
      </c>
    </row>
    <row r="25" spans="1:9">
      <c r="A25" s="3" t="s">
        <v>23</v>
      </c>
      <c r="B25" s="5">
        <v>-1004745</v>
      </c>
      <c r="C25" s="5">
        <v>-2209032</v>
      </c>
      <c r="D25" s="5">
        <v>-746348</v>
      </c>
      <c r="E25">
        <v>-875624</v>
      </c>
      <c r="F25">
        <v>-284636</v>
      </c>
      <c r="G25">
        <v>-71426</v>
      </c>
      <c r="H25">
        <v>-396077</v>
      </c>
      <c r="I25">
        <v>-253922</v>
      </c>
    </row>
    <row r="26" spans="1:9">
      <c r="A26" s="3" t="s">
        <v>24</v>
      </c>
      <c r="B26" s="5">
        <v>57837</v>
      </c>
      <c r="C26" s="5">
        <v>31546</v>
      </c>
      <c r="D26" s="5">
        <v>26698</v>
      </c>
      <c r="E26">
        <v>13039</v>
      </c>
      <c r="F26">
        <v>9404</v>
      </c>
      <c r="G26">
        <v>2588</v>
      </c>
      <c r="H26">
        <v>136</v>
      </c>
      <c r="I26">
        <v>489</v>
      </c>
    </row>
    <row r="27" spans="1:9">
      <c r="A27" s="3" t="s">
        <v>25</v>
      </c>
      <c r="B27" s="5">
        <v>-1062582</v>
      </c>
      <c r="C27" s="5">
        <v>-2240578</v>
      </c>
      <c r="D27" s="5">
        <v>-773046</v>
      </c>
      <c r="E27">
        <v>-888663</v>
      </c>
      <c r="F27">
        <v>-294040</v>
      </c>
      <c r="G27">
        <v>-74014</v>
      </c>
      <c r="H27">
        <v>-396213</v>
      </c>
      <c r="I27">
        <v>-254411</v>
      </c>
    </row>
    <row r="28" spans="1:9" ht="32">
      <c r="A28" s="3" t="s">
        <v>26</v>
      </c>
      <c r="B28" s="5">
        <v>-86491</v>
      </c>
      <c r="C28" s="5">
        <v>-279178</v>
      </c>
      <c r="D28" s="5">
        <v>-98132</v>
      </c>
      <c r="E28">
        <v>0</v>
      </c>
      <c r="F28" t="e">
        <v>#N/A</v>
      </c>
      <c r="G28" t="e">
        <v>#N/A</v>
      </c>
      <c r="H28" t="e">
        <v>#N/A</v>
      </c>
      <c r="I28" t="e">
        <v>#N/A</v>
      </c>
    </row>
    <row r="29" spans="1:9">
      <c r="A29" s="3" t="s">
        <v>27</v>
      </c>
      <c r="B29" s="4">
        <v>-976091</v>
      </c>
      <c r="C29" s="4">
        <v>-1961400</v>
      </c>
      <c r="D29" s="4">
        <v>-674914</v>
      </c>
      <c r="E29">
        <v>-888663</v>
      </c>
      <c r="F29">
        <v>-294040</v>
      </c>
      <c r="G29">
        <v>-74014</v>
      </c>
      <c r="H29">
        <v>-396213</v>
      </c>
      <c r="I29">
        <v>-254411</v>
      </c>
    </row>
    <row r="30" spans="1:9" ht="32">
      <c r="A30" s="2" t="s">
        <v>28</v>
      </c>
      <c r="E30" t="e">
        <v>#N/A</v>
      </c>
      <c r="F30" t="e">
        <v>#N/A</v>
      </c>
      <c r="G30" t="e">
        <v>#N/A</v>
      </c>
      <c r="H30" t="e">
        <v>#N/A</v>
      </c>
      <c r="I30" t="e">
        <v>#N/A</v>
      </c>
    </row>
    <row r="31" spans="1:9">
      <c r="A31" s="3" t="s">
        <v>29</v>
      </c>
      <c r="B31" s="6">
        <v>-5.72</v>
      </c>
      <c r="C31" s="6">
        <v>-11.83</v>
      </c>
      <c r="D31" s="6">
        <v>-4.68</v>
      </c>
      <c r="E31">
        <v>-6.93</v>
      </c>
      <c r="F31">
        <v>-2.36</v>
      </c>
      <c r="G31">
        <v>-0.62</v>
      </c>
      <c r="H31">
        <v>-3.69</v>
      </c>
      <c r="I31">
        <v>-2.5299999999999998</v>
      </c>
    </row>
    <row r="32" spans="1:9">
      <c r="A32" s="3" t="s">
        <v>30</v>
      </c>
      <c r="B32" s="6">
        <v>-5.72</v>
      </c>
      <c r="C32" s="6">
        <v>-11.83</v>
      </c>
      <c r="D32" s="6">
        <v>-4.68</v>
      </c>
      <c r="E32">
        <v>-6.93</v>
      </c>
      <c r="F32">
        <v>-2.36</v>
      </c>
      <c r="G32">
        <v>-0.62</v>
      </c>
      <c r="H32">
        <v>-3.69</v>
      </c>
      <c r="I32">
        <v>-2.5299999999999998</v>
      </c>
    </row>
    <row r="33" spans="1:9" ht="32">
      <c r="A33" s="2" t="s">
        <v>31</v>
      </c>
      <c r="E33" t="e">
        <v>#N/A</v>
      </c>
      <c r="F33" t="e">
        <v>#N/A</v>
      </c>
      <c r="G33" t="e">
        <v>#N/A</v>
      </c>
      <c r="H33" t="e">
        <v>#N/A</v>
      </c>
      <c r="I33" t="e">
        <v>#N/A</v>
      </c>
    </row>
    <row r="34" spans="1:9">
      <c r="A34" s="3" t="s">
        <v>29</v>
      </c>
      <c r="B34" s="5">
        <v>170525</v>
      </c>
      <c r="C34" s="5">
        <v>165758</v>
      </c>
      <c r="D34" s="5">
        <v>144212</v>
      </c>
      <c r="E34">
        <v>128202</v>
      </c>
      <c r="F34">
        <v>124539</v>
      </c>
      <c r="G34">
        <v>119421</v>
      </c>
      <c r="H34" t="e">
        <v>#N/A</v>
      </c>
      <c r="I34" t="e">
        <v>#N/A</v>
      </c>
    </row>
    <row r="35" spans="1:9">
      <c r="A35" s="3" t="s">
        <v>30</v>
      </c>
      <c r="B35" s="5">
        <v>170525</v>
      </c>
      <c r="C35" s="5">
        <v>165758</v>
      </c>
      <c r="D35" s="5">
        <v>144212</v>
      </c>
      <c r="E35">
        <v>128202</v>
      </c>
      <c r="F35">
        <v>124539</v>
      </c>
      <c r="G35">
        <v>119421</v>
      </c>
      <c r="H35" t="e">
        <v>#N/A</v>
      </c>
      <c r="I35" t="e">
        <v>#N/A</v>
      </c>
    </row>
    <row r="36" spans="1:9">
      <c r="A36" s="3" t="s">
        <v>32</v>
      </c>
      <c r="E36" t="e">
        <v>#N/A</v>
      </c>
      <c r="F36" t="e">
        <v>#N/A</v>
      </c>
      <c r="G36" t="e">
        <v>#N/A</v>
      </c>
      <c r="H36" t="e">
        <v>#N/A</v>
      </c>
      <c r="I36" t="e">
        <v>#N/A</v>
      </c>
    </row>
    <row r="37" spans="1:9">
      <c r="A37" s="2" t="s">
        <v>5</v>
      </c>
      <c r="E37" t="e">
        <v>#N/A</v>
      </c>
      <c r="F37" t="e">
        <v>#N/A</v>
      </c>
      <c r="G37" t="e">
        <v>#N/A</v>
      </c>
      <c r="H37" t="e">
        <v>#N/A</v>
      </c>
      <c r="I37" t="e">
        <v>#N/A</v>
      </c>
    </row>
    <row r="38" spans="1:9">
      <c r="A38" s="3" t="s">
        <v>5</v>
      </c>
      <c r="B38" s="4">
        <v>17631522</v>
      </c>
      <c r="C38" s="4">
        <v>8534752</v>
      </c>
      <c r="D38" s="4">
        <v>5589007</v>
      </c>
      <c r="E38">
        <v>3431587</v>
      </c>
      <c r="F38">
        <v>2874448</v>
      </c>
      <c r="G38" t="e">
        <v>#N/A</v>
      </c>
      <c r="H38" t="e">
        <v>#N/A</v>
      </c>
      <c r="I38" t="e">
        <v>#N/A</v>
      </c>
    </row>
    <row r="39" spans="1:9">
      <c r="A39" s="2" t="s">
        <v>10</v>
      </c>
      <c r="E39" t="e">
        <v>#N/A</v>
      </c>
      <c r="F39" t="e">
        <v>#N/A</v>
      </c>
      <c r="G39" t="e">
        <v>#N/A</v>
      </c>
      <c r="H39" t="e">
        <v>#N/A</v>
      </c>
      <c r="I39" t="e">
        <v>#N/A</v>
      </c>
    </row>
    <row r="40" spans="1:9">
      <c r="A40" s="3" t="s">
        <v>10</v>
      </c>
      <c r="B40" s="5">
        <v>13685572</v>
      </c>
      <c r="C40" s="5">
        <v>6724480</v>
      </c>
      <c r="D40" s="5">
        <v>4268087</v>
      </c>
      <c r="E40">
        <v>2639926</v>
      </c>
      <c r="F40">
        <v>2058344</v>
      </c>
      <c r="G40" t="e">
        <v>#N/A</v>
      </c>
      <c r="H40" t="e">
        <v>#N/A</v>
      </c>
      <c r="I40" t="e">
        <v>#N/A</v>
      </c>
    </row>
    <row r="41" spans="1:9">
      <c r="A41" s="3" t="s">
        <v>33</v>
      </c>
      <c r="E41" t="e">
        <v>#N/A</v>
      </c>
      <c r="F41" t="e">
        <v>#N/A</v>
      </c>
      <c r="G41" t="e">
        <v>#N/A</v>
      </c>
      <c r="H41" t="e">
        <v>#N/A</v>
      </c>
      <c r="I41" t="e">
        <v>#N/A</v>
      </c>
    </row>
    <row r="42" spans="1:9">
      <c r="A42" s="2" t="s">
        <v>5</v>
      </c>
      <c r="E42" t="e">
        <v>#N/A</v>
      </c>
      <c r="F42" t="e">
        <v>#N/A</v>
      </c>
      <c r="G42" t="e">
        <v>#N/A</v>
      </c>
      <c r="H42" t="e">
        <v>#N/A</v>
      </c>
      <c r="I42" t="e">
        <v>#N/A</v>
      </c>
    </row>
    <row r="43" spans="1:9">
      <c r="A43" s="3" t="s">
        <v>5</v>
      </c>
      <c r="B43" s="5">
        <v>1555244</v>
      </c>
      <c r="C43" s="5">
        <v>1116266</v>
      </c>
      <c r="D43" s="5">
        <v>181394</v>
      </c>
      <c r="E43">
        <v>14477</v>
      </c>
      <c r="F43">
        <v>4208</v>
      </c>
      <c r="G43" t="e">
        <v>#N/A</v>
      </c>
      <c r="H43" t="e">
        <v>#N/A</v>
      </c>
      <c r="I43" t="e">
        <v>#N/A</v>
      </c>
    </row>
    <row r="44" spans="1:9">
      <c r="A44" s="2" t="s">
        <v>10</v>
      </c>
      <c r="E44" t="e">
        <v>#N/A</v>
      </c>
      <c r="F44" t="e">
        <v>#N/A</v>
      </c>
      <c r="G44" t="e">
        <v>#N/A</v>
      </c>
      <c r="H44" t="e">
        <v>#N/A</v>
      </c>
      <c r="I44" t="e">
        <v>#N/A</v>
      </c>
    </row>
    <row r="45" spans="1:9">
      <c r="A45" s="3" t="s">
        <v>10</v>
      </c>
      <c r="B45" s="4">
        <v>1364896</v>
      </c>
      <c r="C45" s="4">
        <v>874538</v>
      </c>
      <c r="D45" s="4">
        <v>178332</v>
      </c>
      <c r="E45">
        <v>12287</v>
      </c>
      <c r="F45">
        <v>4005</v>
      </c>
      <c r="G45" t="e">
        <v>#N/A</v>
      </c>
      <c r="H45" t="e">
        <v>#N/A</v>
      </c>
      <c r="I45" t="e">
        <v>#N/A</v>
      </c>
    </row>
  </sheetData>
  <mergeCells count="2">
    <mergeCell ref="A1:A2"/>
    <mergeCell ref="B1:D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combinedIncomeLongPivot2</vt:lpstr>
      <vt:lpstr>combinedIncomeLongPivot</vt:lpstr>
      <vt:lpstr>combinedIncomeLong</vt:lpstr>
      <vt:lpstr>combinedIncomeWide</vt:lpstr>
      <vt:lpstr>combinedIncomeClean</vt:lpstr>
      <vt:lpstr>combinedIncomeRaw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Guymon, Ronald Nathan</dc:creator>
  <cp:lastModifiedBy>Guymon, Ronald Nathan</cp:lastModifiedBy>
  <dcterms:created xsi:type="dcterms:W3CDTF">2019-03-06T04:21:24Z</dcterms:created>
  <dcterms:modified xsi:type="dcterms:W3CDTF">2021-01-20T00:55:54Z</dcterms:modified>
</cp:coreProperties>
</file>